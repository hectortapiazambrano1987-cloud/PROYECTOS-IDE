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EME" sheetId="1" state="visible" r:id="rId3"/>
    <sheet name="EVENTO" sheetId="2" state="visible" r:id="rId4"/>
    <sheet name="PUNTOS_INTERVENCION" sheetId="3" state="visible" r:id="rId5"/>
    <sheet name="RECURSOS_DETALLE" sheetId="4" state="visible" r:id="rId6"/>
    <sheet name="ZONAS_COORDINACION" sheetId="5" state="visible" r:id="rId7"/>
    <sheet name="INCIDENTES" sheetId="6" state="visible" r:id="rId8"/>
    <sheet name="VIAS_AFECTADAS" sheetId="7" state="visible" r:id="rId9"/>
    <sheet name="ETIQUETAS_MAPA" sheetId="8" state="visible" r:id="rId10"/>
    <sheet name="TURNOS" sheetId="9" state="visible" r:id="rId11"/>
    <sheet name="LOGISTICA" sheetId="10" state="visible" r:id="rId12"/>
    <sheet name="RESUMEN" sheetId="11" state="visible" r:id="rId13"/>
    <sheet name="SIMBOLOGIA" sheetId="12" state="visible" r:id="rId14"/>
  </sheets>
  <definedNames>
    <definedName function="false" hidden="true" localSheetId="7" name="_xlnm._FilterDatabase" vbProcedure="false">ETIQUETAS_MAPA!$A$1:$D$7</definedName>
    <definedName function="false" hidden="true" localSheetId="1" name="_xlnm._FilterDatabase" vbProcedure="false">EVENTO!$A$1:$B$12</definedName>
    <definedName function="false" hidden="true" localSheetId="5" name="_xlnm._FilterDatabase" vbProcedure="false">INCIDENTES!$A$1:$J$2</definedName>
    <definedName function="false" hidden="true" localSheetId="9" name="_xlnm._FilterDatabase" vbProcedure="false">LOGISTICA!$A$1:$C$4</definedName>
    <definedName function="false" hidden="true" localSheetId="2" name="_xlnm._FilterDatabase" vbProcedure="false">PUNTOS_INTERVENCION!$A$1:$O$6</definedName>
    <definedName function="false" hidden="true" localSheetId="3" name="_xlnm._FilterDatabase" vbProcedure="false">RECURSOS_DETALLE!$A$1:$G$12</definedName>
    <definedName function="false" hidden="true" localSheetId="10" name="_xlnm._FilterDatabase" vbProcedure="false">RESUMEN!$A$2:$D$8</definedName>
    <definedName function="false" hidden="true" localSheetId="11" name="_xlnm._FilterDatabase" vbProcedure="false">SIMBOLOGIA!$A$1:$F$10</definedName>
    <definedName function="false" hidden="true" localSheetId="8" name="_xlnm._FilterDatabase" vbProcedure="false">TURNOS!$A$1:$E$4</definedName>
    <definedName function="false" hidden="true" localSheetId="6" name="_xlnm._FilterDatabase" vbProcedure="false">VIAS_AFECTADAS!$A$1:$I$8</definedName>
    <definedName function="false" hidden="true" localSheetId="4" name="_xlnm._FilterDatabase" vbProcedure="false">ZONAS_COORDINACION!$A$1:$H$5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Centro sugerido para el mapa (aprox.).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2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F3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F4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F5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F6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D3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D4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  <comment ref="D5" authorId="0">
      <text>
        <r>
          <rPr>
            <sz val="10"/>
            <rFont val="Arial"/>
            <family val="2"/>
          </rPr>
          <t xml:space="preserve">Coordenada aproximada (no consta en la imagen). Verificar/ajustar antes de presentar.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Ubicación aproximada según el ícono ⚠ de la imagen (tramo E28 cerca de Nanegal). Tipo exacto no especificado en la imagen.</t>
        </r>
      </text>
    </comment>
  </commentList>
</comments>
</file>

<file path=xl/sharedStrings.xml><?xml version="1.0" encoding="utf-8"?>
<sst xmlns="http://schemas.openxmlformats.org/spreadsheetml/2006/main" count="382" uniqueCount="241">
  <si>
    <t xml:space="preserve">DESPLIEGUE OPERATIVO POLICIAL – EVENTO 3 · Base de datos para mapa interactivo</t>
  </si>
  <si>
    <t xml:space="preserve">Hoja</t>
  </si>
  <si>
    <t xml:space="preserve">Contenido / uso en el mapa</t>
  </si>
  <si>
    <t xml:space="preserve">EVENTO</t>
  </si>
  <si>
    <t xml:space="preserve">Metadatos del evento (título, fecha, ámbito, jurisdicción). Úsalo para el encabezado del mapa.</t>
  </si>
  <si>
    <t xml:space="preserve">PUNTOS_INTERVENCION</t>
  </si>
  <si>
    <t xml:space="preserve">1 fila = 1 marcador. Puntos dentro del DMQ con lat/lon, servidores, recursos, color e ícono. Clave: punto_id.</t>
  </si>
  <si>
    <t xml:space="preserve">RECURSOS_DETALLE</t>
  </si>
  <si>
    <t xml:space="preserve">Desglose normalizado de recursos por punto (relación N:1 con PUNTOS_INTERVENCION vía punto_id). Ideal para el popup.</t>
  </si>
  <si>
    <t xml:space="preserve">ZONAS_COORDINACION</t>
  </si>
  <si>
    <t xml:space="preserve">Cantones fuera del DMQ (marcadores amarillos) con su acción de coordinación.</t>
  </si>
  <si>
    <t xml:space="preserve">INCIDENTES</t>
  </si>
  <si>
    <t xml:space="preserve">Zonas de afectación (ícono de alerta ⚠).</t>
  </si>
  <si>
    <t xml:space="preserve">VIAS_AFECTADAS</t>
  </si>
  <si>
    <t xml:space="preserve">Vértices de la vía E28 afectada / cierre. Agrupar por via_id y ordenar por orden → polilínea roja discontinua.</t>
  </si>
  <si>
    <t xml:space="preserve">ETIQUETAS_MAPA</t>
  </si>
  <si>
    <t xml:space="preserve">Rótulos de provincias / zonas vecinas (Pichincha, Imbabura, Napo, Cotopaxi, Santo Domingo).</t>
  </si>
  <si>
    <t xml:space="preserve">TURNOS</t>
  </si>
  <si>
    <t xml:space="preserve">Turnos operativos de 8 horas.</t>
  </si>
  <si>
    <t xml:space="preserve">LOGISTICA</t>
  </si>
  <si>
    <t xml:space="preserve">Medios logísticos por tipo (totales calculados con fórmulas desde RECURSOS_DETALLE).</t>
  </si>
  <si>
    <t xml:space="preserve">RESUMEN</t>
  </si>
  <si>
    <t xml:space="preserve">Totales de la Zona 9 calculados con fórmulas + verificación contra la imagen.</t>
  </si>
  <si>
    <t xml:space="preserve">SIMBOLOGIA</t>
  </si>
  <si>
    <t xml:space="preserve">Capas, colores HEX y estilos de línea para replicar la leyenda en el mapa.</t>
  </si>
  <si>
    <t xml:space="preserve">Convenciones</t>
  </si>
  <si>
    <t xml:space="preserve">Texto azul = dato ingresado manualmente (editable). Negro = fórmula. Coordenadas en grados decimales WGS84 (EPSG:4326).</t>
  </si>
  <si>
    <t xml:space="preserve">Coordenadas</t>
  </si>
  <si>
    <t xml:space="preserve">La imagen no trae coordenadas: las lat/lon son APROXIMADAS (cabeceras parroquiales/cantonales). Ajústalas con Google Maps antes de presentar.</t>
  </si>
  <si>
    <t xml:space="preserve">Uso en VS Code</t>
  </si>
  <si>
    <t xml:space="preserve">Leaflet o Mapbox: lee el Excel con SheetJS (xlsx) en JS o exporta cada hoja a CSV/JSON con pandas. Une PUNTOS_INTERVENCION + RECURSOS_DETALLE por punto_id.</t>
  </si>
  <si>
    <t xml:space="preserve">campo</t>
  </si>
  <si>
    <t xml:space="preserve">valor</t>
  </si>
  <si>
    <t xml:space="preserve">evento_id</t>
  </si>
  <si>
    <t xml:space="preserve">EV-03</t>
  </si>
  <si>
    <t xml:space="preserve">titulo</t>
  </si>
  <si>
    <t xml:space="preserve">Despliegue Operativo Policial – Evento 3</t>
  </si>
  <si>
    <t xml:space="preserve">tipo_evento</t>
  </si>
  <si>
    <t xml:space="preserve">Inundaciones, deslizamientos, colapsos de infraestructura y alteraciones del orden público</t>
  </si>
  <si>
    <t xml:space="preserve">fecha_hora</t>
  </si>
  <si>
    <t xml:space="preserve">27/11/2028 03:00</t>
  </si>
  <si>
    <t xml:space="preserve">ambito_territorial</t>
  </si>
  <si>
    <t xml:space="preserve">Distrito Metropolitano de Quito (DMQ)</t>
  </si>
  <si>
    <t xml:space="preserve">jurisdiccion</t>
  </si>
  <si>
    <t xml:space="preserve">Policía Nacional – Zona 9</t>
  </si>
  <si>
    <t xml:space="preserve">institucion</t>
  </si>
  <si>
    <t xml:space="preserve">Policía Nacional del Ecuador – Zona 9 – DMQ</t>
  </si>
  <si>
    <t xml:space="preserve">centro_mapa_lat</t>
  </si>
  <si>
    <t xml:space="preserve">centro_mapa_lon</t>
  </si>
  <si>
    <t xml:space="preserve">zoom_inicial</t>
  </si>
  <si>
    <t xml:space="preserve">nota</t>
  </si>
  <si>
    <t xml:space="preserve">Rumiñahui, Mejía, Pedro Vicente Maldonado y Puerto Quito se coordinan con las zonas policiales correspondientes y los COE cantonales y parroquiales.</t>
  </si>
  <si>
    <t xml:space="preserve">punto_id</t>
  </si>
  <si>
    <t xml:space="preserve">nombre</t>
  </si>
  <si>
    <t xml:space="preserve">sector</t>
  </si>
  <si>
    <t xml:space="preserve">tipo_operacion</t>
  </si>
  <si>
    <t xml:space="preserve">ambito</t>
  </si>
  <si>
    <t xml:space="preserve">lat</t>
  </si>
  <si>
    <t xml:space="preserve">lon</t>
  </si>
  <si>
    <t xml:space="preserve">servidores_total</t>
  </si>
  <si>
    <t xml:space="preserve">patrulleros</t>
  </si>
  <si>
    <t xml:space="preserve">motocicletas</t>
  </si>
  <si>
    <t xml:space="preserve">prioridad</t>
  </si>
  <si>
    <t xml:space="preserve">color_hex</t>
  </si>
  <si>
    <t xml:space="preserve">icono</t>
  </si>
  <si>
    <t xml:space="preserve">popup_texto</t>
  </si>
  <si>
    <t xml:space="preserve">observacion</t>
  </si>
  <si>
    <t xml:space="preserve">P01</t>
  </si>
  <si>
    <t xml:space="preserve">E28 Calacalí</t>
  </si>
  <si>
    <t xml:space="preserve">Calacalí</t>
  </si>
  <si>
    <t xml:space="preserve">Control de tránsito</t>
  </si>
  <si>
    <t xml:space="preserve">DMQ</t>
  </si>
  <si>
    <t xml:space="preserve">Alta</t>
  </si>
  <si>
    <t xml:space="preserve">#C1121F</t>
  </si>
  <si>
    <t xml:space="preserve">car</t>
  </si>
  <si>
    <t xml:space="preserve">4 personal (Tránsito) · 1 patrullero (2 personal) · 2 motos (1 personal c/u)</t>
  </si>
  <si>
    <t xml:space="preserve">P02</t>
  </si>
  <si>
    <t xml:space="preserve">Nanegal</t>
  </si>
  <si>
    <t xml:space="preserve">Zona de afectación en la vía E28 cercana</t>
  </si>
  <si>
    <t xml:space="preserve">P03</t>
  </si>
  <si>
    <t xml:space="preserve">Quito urbano</t>
  </si>
  <si>
    <t xml:space="preserve">Infraestructura estratégica</t>
  </si>
  <si>
    <t xml:space="preserve">Media</t>
  </si>
  <si>
    <t xml:space="preserve">#0B2545</t>
  </si>
  <si>
    <t xml:space="preserve">shield</t>
  </si>
  <si>
    <t xml:space="preserve">2 equipos de 3 servidores · 2 patrulleros · Vigilancia y control preventivo</t>
  </si>
  <si>
    <t xml:space="preserve">Los 2 patrulleros son tripulados por los 6 servidores</t>
  </si>
  <si>
    <t xml:space="preserve">P04</t>
  </si>
  <si>
    <t xml:space="preserve">Redondel Mitad del Mundo</t>
  </si>
  <si>
    <t xml:space="preserve">Mitad del Mundo</t>
  </si>
  <si>
    <t xml:space="preserve">Control de tránsito y desvíos</t>
  </si>
  <si>
    <t xml:space="preserve">2 personal (Tránsito) · 1 patrullero (2 personal)</t>
  </si>
  <si>
    <t xml:space="preserve">La imagen indica total 2: el mismo personal de tránsito opera el patrullero</t>
  </si>
  <si>
    <t xml:space="preserve">P05</t>
  </si>
  <si>
    <t xml:space="preserve">La Independencia</t>
  </si>
  <si>
    <t xml:space="preserve">Punto de referencia (vía E28)</t>
  </si>
  <si>
    <t xml:space="preserve">Referencia</t>
  </si>
  <si>
    <t xml:space="preserve">circle</t>
  </si>
  <si>
    <t xml:space="preserve">Punto de referencia en la vía afectada E28 (sin recursos asignados)</t>
  </si>
  <si>
    <t xml:space="preserve">Aparece en el mapa sin recursos</t>
  </si>
  <si>
    <t xml:space="preserve">servidores_total, patrulleros y motocicletas se calculan desde RECURSOS_DETALLE (columna cuenta_en_total = SI).</t>
  </si>
  <si>
    <t xml:space="preserve">tipo_recurso</t>
  </si>
  <si>
    <t xml:space="preserve">cantidad</t>
  </si>
  <si>
    <t xml:space="preserve">personal_por_unidad</t>
  </si>
  <si>
    <t xml:space="preserve">descripcion</t>
  </si>
  <si>
    <t xml:space="preserve">personal_total</t>
  </si>
  <si>
    <t xml:space="preserve">cuenta_en_total</t>
  </si>
  <si>
    <t xml:space="preserve">Personal tránsito</t>
  </si>
  <si>
    <t xml:space="preserve">4 personal (Tránsito)</t>
  </si>
  <si>
    <t xml:space="preserve">SI</t>
  </si>
  <si>
    <t xml:space="preserve">Patrullero</t>
  </si>
  <si>
    <t xml:space="preserve">1 patrullero (2 personal)</t>
  </si>
  <si>
    <t xml:space="preserve">Motocicleta</t>
  </si>
  <si>
    <t xml:space="preserve">2 motos (1 personal c/u)</t>
  </si>
  <si>
    <t xml:space="preserve">Equipo de servidores</t>
  </si>
  <si>
    <t xml:space="preserve">2 equipos de 3 servidores</t>
  </si>
  <si>
    <t xml:space="preserve">2 patrulleros (tripulados por los equipos)</t>
  </si>
  <si>
    <t xml:space="preserve">NO</t>
  </si>
  <si>
    <t xml:space="preserve">Actividad</t>
  </si>
  <si>
    <t xml:space="preserve">Vigilancia y control preventivo</t>
  </si>
  <si>
    <t xml:space="preserve">2 personal (Tránsito)</t>
  </si>
  <si>
    <t xml:space="preserve">1 patrullero (2 personal) – mismo personal de tránsito</t>
  </si>
  <si>
    <t xml:space="preserve">cuenta_en_total = NO evita doble conteo de personal (vehículos tripulados por personal ya contado). Los vehículos sí se suman en LOGISTICA.</t>
  </si>
  <si>
    <t xml:space="preserve">zona_id</t>
  </si>
  <si>
    <t xml:space="preserve">canton</t>
  </si>
  <si>
    <t xml:space="preserve">cabecera_lat</t>
  </si>
  <si>
    <t xml:space="preserve">cabecera_lon</t>
  </si>
  <si>
    <t xml:space="preserve">accion_coordinacion</t>
  </si>
  <si>
    <t xml:space="preserve">Z01</t>
  </si>
  <si>
    <t xml:space="preserve">Rumiñahui</t>
  </si>
  <si>
    <t xml:space="preserve">Fuera del DMQ</t>
  </si>
  <si>
    <t xml:space="preserve">Coordinar con la zona policial competente y COE cantonal.</t>
  </si>
  <si>
    <t xml:space="preserve">#FFD60A</t>
  </si>
  <si>
    <t xml:space="preserve">handshake</t>
  </si>
  <si>
    <t xml:space="preserve">Z02</t>
  </si>
  <si>
    <t xml:space="preserve">Mejía</t>
  </si>
  <si>
    <t xml:space="preserve">Z03</t>
  </si>
  <si>
    <t xml:space="preserve">Pedro Vicente Maldonado</t>
  </si>
  <si>
    <t xml:space="preserve">Coordinar con la zona policial competente y COE cantonal / parroquial.</t>
  </si>
  <si>
    <t xml:space="preserve">Z04</t>
  </si>
  <si>
    <t xml:space="preserve">Puerto Quito</t>
  </si>
  <si>
    <t xml:space="preserve">incidente_id</t>
  </si>
  <si>
    <t xml:space="preserve">tipo</t>
  </si>
  <si>
    <t xml:space="preserve">via_relacionada</t>
  </si>
  <si>
    <t xml:space="preserve">punto_relacionado</t>
  </si>
  <si>
    <t xml:space="preserve">estado</t>
  </si>
  <si>
    <t xml:space="preserve">I01</t>
  </si>
  <si>
    <t xml:space="preserve">Zona de afectación vía Calacalí – Nanegal</t>
  </si>
  <si>
    <t xml:space="preserve">Deslizamiento / afectación vial</t>
  </si>
  <si>
    <t xml:space="preserve">E28</t>
  </si>
  <si>
    <t xml:space="preserve">Activo</t>
  </si>
  <si>
    <t xml:space="preserve">warning</t>
  </si>
  <si>
    <t xml:space="preserve">via_id</t>
  </si>
  <si>
    <t xml:space="preserve">nombre_via</t>
  </si>
  <si>
    <t xml:space="preserve">orden</t>
  </si>
  <si>
    <t xml:space="preserve">referencia</t>
  </si>
  <si>
    <t xml:space="preserve">estilo_linea</t>
  </si>
  <si>
    <t xml:space="preserve">Vía E28 Calacalí – Nanegal</t>
  </si>
  <si>
    <t xml:space="preserve">Afectación / cierre</t>
  </si>
  <si>
    <t xml:space="preserve">discontinua</t>
  </si>
  <si>
    <t xml:space="preserve">Tramo E28</t>
  </si>
  <si>
    <t xml:space="preserve">Zona de afectación</t>
  </si>
  <si>
    <t xml:space="preserve">Tramo hacia Nanegal</t>
  </si>
  <si>
    <t xml:space="preserve">Trazado esquemático aproximado. Para mayor precisión, reemplazar por la geometría real (OpenStreetMap / MTOP).</t>
  </si>
  <si>
    <t xml:space="preserve">etiqueta</t>
  </si>
  <si>
    <t xml:space="preserve">PICHINCHA</t>
  </si>
  <si>
    <t xml:space="preserve">Provincia</t>
  </si>
  <si>
    <t xml:space="preserve">IMBABURA</t>
  </si>
  <si>
    <t xml:space="preserve">Provincia vecina</t>
  </si>
  <si>
    <t xml:space="preserve">NAPO</t>
  </si>
  <si>
    <t xml:space="preserve">COTOPAXI</t>
  </si>
  <si>
    <t xml:space="preserve">SANTO DOMINGO (Zona 8)</t>
  </si>
  <si>
    <t xml:space="preserve">Zona policial vecina</t>
  </si>
  <si>
    <t xml:space="preserve">Quito (DMQ)</t>
  </si>
  <si>
    <t xml:space="preserve">Ciudad principal</t>
  </si>
  <si>
    <t xml:space="preserve">turno</t>
  </si>
  <si>
    <t xml:space="preserve">hora_inicio</t>
  </si>
  <si>
    <t xml:space="preserve">hora_fin</t>
  </si>
  <si>
    <t xml:space="preserve">personal</t>
  </si>
  <si>
    <t xml:space="preserve">duracion_h</t>
  </si>
  <si>
    <t xml:space="preserve">Turno 1</t>
  </si>
  <si>
    <t xml:space="preserve">00:00</t>
  </si>
  <si>
    <t xml:space="preserve">08:00</t>
  </si>
  <si>
    <t xml:space="preserve">Turno 2</t>
  </si>
  <si>
    <t xml:space="preserve">16:00</t>
  </si>
  <si>
    <t xml:space="preserve">Turno 3</t>
  </si>
  <si>
    <t xml:space="preserve">Personal por turno (según despliegue)</t>
  </si>
  <si>
    <t xml:space="preserve">Horas-servidor por día</t>
  </si>
  <si>
    <t xml:space="preserve">tipo_unidad</t>
  </si>
  <si>
    <t xml:space="preserve">fuente</t>
  </si>
  <si>
    <t xml:space="preserve">Patrulleros</t>
  </si>
  <si>
    <t xml:space="preserve">Suma de RECURSOS_DETALLE</t>
  </si>
  <si>
    <t xml:space="preserve">Motocicletas</t>
  </si>
  <si>
    <t xml:space="preserve">TOTAL</t>
  </si>
  <si>
    <t xml:space="preserve">RESUMEN TOTAL ZONA 9 – DMQ</t>
  </si>
  <si>
    <t xml:space="preserve">indicador</t>
  </si>
  <si>
    <t xml:space="preserve">valor_calculado</t>
  </si>
  <si>
    <t xml:space="preserve">valor_en_imagen</t>
  </si>
  <si>
    <t xml:space="preserve">verificacion</t>
  </si>
  <si>
    <t xml:space="preserve">Servidores policiales (DMQ)</t>
  </si>
  <si>
    <t xml:space="preserve">Unidades logísticas</t>
  </si>
  <si>
    <t xml:space="preserve">Puntos de intervención con recursos</t>
  </si>
  <si>
    <t xml:space="preserve">Zonas de coordinación fuera del DMQ</t>
  </si>
  <si>
    <t xml:space="preserve">capa</t>
  </si>
  <si>
    <t xml:space="preserve">geometria</t>
  </si>
  <si>
    <t xml:space="preserve">estilo</t>
  </si>
  <si>
    <t xml:space="preserve">hoja_origen</t>
  </si>
  <si>
    <t xml:space="preserve">incidentes</t>
  </si>
  <si>
    <t xml:space="preserve">Zonas de afectación / incidentes</t>
  </si>
  <si>
    <t xml:space="preserve">Punto</t>
  </si>
  <si>
    <t xml:space="preserve">Ícono ⚠</t>
  </si>
  <si>
    <t xml:space="preserve">vias_afectadas</t>
  </si>
  <si>
    <t xml:space="preserve">Vía con afectación / cierre</t>
  </si>
  <si>
    <t xml:space="preserve">Línea</t>
  </si>
  <si>
    <t xml:space="preserve">Discontinua</t>
  </si>
  <si>
    <t xml:space="preserve">ejes_viales</t>
  </si>
  <si>
    <t xml:space="preserve">Ejes viales principales</t>
  </si>
  <si>
    <t xml:space="preserve">Continua</t>
  </si>
  <si>
    <t xml:space="preserve">Capa base (OSM)</t>
  </si>
  <si>
    <t xml:space="preserve">rios</t>
  </si>
  <si>
    <t xml:space="preserve">Ríos y quebradas principales</t>
  </si>
  <si>
    <t xml:space="preserve">#1E90FF</t>
  </si>
  <si>
    <t xml:space="preserve">limite_dmq</t>
  </si>
  <si>
    <t xml:space="preserve">Límite del DMQ (Zona 9)</t>
  </si>
  <si>
    <t xml:space="preserve">Polígono</t>
  </si>
  <si>
    <t xml:space="preserve">#FFFFFF</t>
  </si>
  <si>
    <t xml:space="preserve">Borde blanco grueso</t>
  </si>
  <si>
    <t xml:space="preserve">GeoJSON externo (INEC/Municipio)</t>
  </si>
  <si>
    <t xml:space="preserve">limite_cantonal</t>
  </si>
  <si>
    <t xml:space="preserve">Límite cantonal</t>
  </si>
  <si>
    <t xml:space="preserve">Borde amarillo discontinuo</t>
  </si>
  <si>
    <t xml:space="preserve">GeoJSON externo (INEC)</t>
  </si>
  <si>
    <t xml:space="preserve">otros_cantones</t>
  </si>
  <si>
    <t xml:space="preserve">Otros cantones (zona correspondiente)</t>
  </si>
  <si>
    <t xml:space="preserve">Borde amarillo / relleno tenue</t>
  </si>
  <si>
    <t xml:space="preserve">puntos_dmq</t>
  </si>
  <si>
    <t xml:space="preserve">Puntos de intervención DMQ</t>
  </si>
  <si>
    <t xml:space="preserve">Marcador rojo</t>
  </si>
  <si>
    <t xml:space="preserve">coordinacion</t>
  </si>
  <si>
    <t xml:space="preserve">Zonas fuera del DMQ – Coordinación</t>
  </si>
  <si>
    <t xml:space="preserve">Marcador amarillo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</si>
</sst>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i val="true"/>
      <sz val="9"/>
      <name val="Arial"/>
      <family val="0"/>
      <charset val="1"/>
    </font>
    <font>
      <b val="true"/>
      <sz val="13"/>
      <color rgb="FF0B2545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333333"/>
      </patternFill>
    </fill>
    <fill>
      <patternFill patternType="solid">
        <fgColor rgb="FFC1121F"/>
        <bgColor rgb="FFFF0000"/>
      </patternFill>
    </fill>
    <fill>
      <patternFill patternType="solid">
        <fgColor rgb="FFFFD60A"/>
        <bgColor rgb="FFFFFF00"/>
      </patternFill>
    </fill>
    <fill>
      <patternFill patternType="solid">
        <fgColor rgb="FF1E90FF"/>
        <bgColor rgb="FF0066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B254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E90FF"/>
          <bgColor rgb="FF000000"/>
        </patternFill>
      </fill>
    </dxf>
    <dxf>
      <fill>
        <patternFill patternType="solid">
          <fgColor rgb="FFC1121F"/>
          <bgColor rgb="FF000000"/>
        </patternFill>
      </fill>
    </dxf>
    <dxf>
      <fill>
        <patternFill patternType="solid">
          <fgColor rgb="FFFFD60A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0FF"/>
      <rgbColor rgb="FF33CCCC"/>
      <rgbColor rgb="FF99CC00"/>
      <rgbColor rgb="FFFFD60A"/>
      <rgbColor rgb="FFFF9900"/>
      <rgbColor rgb="FFFF6600"/>
      <rgbColor rgb="FF666699"/>
      <rgbColor rgb="FF9AA5B1"/>
      <rgbColor rgb="FF0B2545"/>
      <rgbColor rgb="FF339966"/>
      <rgbColor rgb="FF003300"/>
      <rgbColor rgb="FF333300"/>
      <rgbColor rgb="FFC112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5" t="s">
        <v>4</v>
      </c>
    </row>
    <row r="5" customFormat="false" ht="26.85" hidden="false" customHeight="false" outlineLevel="0" collapsed="false">
      <c r="A5" s="4" t="s">
        <v>5</v>
      </c>
      <c r="B5" s="5" t="s">
        <v>6</v>
      </c>
    </row>
    <row r="6" customFormat="false" ht="26.85" hidden="false" customHeight="false" outlineLevel="0" collapsed="false">
      <c r="A6" s="4" t="s">
        <v>7</v>
      </c>
      <c r="B6" s="5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</row>
    <row r="8" customFormat="false" ht="15" hidden="false" customHeight="false" outlineLevel="0" collapsed="false">
      <c r="A8" s="4" t="s">
        <v>11</v>
      </c>
      <c r="B8" s="5" t="s">
        <v>12</v>
      </c>
    </row>
    <row r="9" customFormat="false" ht="26.85" hidden="false" customHeight="false" outlineLevel="0" collapsed="false">
      <c r="A9" s="4" t="s">
        <v>13</v>
      </c>
      <c r="B9" s="5" t="s">
        <v>14</v>
      </c>
    </row>
    <row r="10" customFormat="false" ht="15" hidden="false" customHeight="false" outlineLevel="0" collapsed="false">
      <c r="A10" s="4" t="s">
        <v>15</v>
      </c>
      <c r="B10" s="5" t="s">
        <v>16</v>
      </c>
    </row>
    <row r="11" customFormat="false" ht="15" hidden="false" customHeight="false" outlineLevel="0" collapsed="false">
      <c r="A11" s="4" t="s">
        <v>17</v>
      </c>
      <c r="B11" s="5" t="s">
        <v>18</v>
      </c>
    </row>
    <row r="12" customFormat="false" ht="15" hidden="false" customHeight="false" outlineLevel="0" collapsed="false">
      <c r="A12" s="4" t="s">
        <v>19</v>
      </c>
      <c r="B12" s="5" t="s">
        <v>20</v>
      </c>
    </row>
    <row r="13" customFormat="false" ht="15" hidden="false" customHeight="false" outlineLevel="0" collapsed="false">
      <c r="A13" s="4" t="s">
        <v>21</v>
      </c>
      <c r="B13" s="5" t="s">
        <v>22</v>
      </c>
    </row>
    <row r="14" customFormat="false" ht="15" hidden="false" customHeight="false" outlineLevel="0" collapsed="false">
      <c r="A14" s="4" t="s">
        <v>23</v>
      </c>
      <c r="B14" s="5" t="s">
        <v>24</v>
      </c>
    </row>
    <row r="15" customFormat="false" ht="15" hidden="false" customHeight="false" outlineLevel="0" collapsed="false">
      <c r="A15" s="4"/>
      <c r="B15" s="5"/>
    </row>
    <row r="16" customFormat="false" ht="26.85" hidden="false" customHeight="false" outlineLevel="0" collapsed="false">
      <c r="A16" s="6" t="s">
        <v>25</v>
      </c>
      <c r="B16" s="5" t="s">
        <v>26</v>
      </c>
    </row>
    <row r="17" customFormat="false" ht="26.85" hidden="false" customHeight="false" outlineLevel="0" collapsed="false">
      <c r="A17" s="6" t="s">
        <v>27</v>
      </c>
      <c r="B17" s="5" t="s">
        <v>28</v>
      </c>
    </row>
    <row r="18" customFormat="false" ht="26.85" hidden="false" customHeight="false" outlineLevel="0" collapsed="false">
      <c r="A18" s="6" t="s">
        <v>29</v>
      </c>
      <c r="B18" s="5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1.5" hidden="false" customHeight="true" outlineLevel="0" collapsed="false">
      <c r="A1" s="7" t="s">
        <v>31</v>
      </c>
      <c r="B1" s="7" t="s">
        <v>32</v>
      </c>
    </row>
    <row r="2" customFormat="false" ht="15" hidden="false" customHeight="false" outlineLevel="0" collapsed="false">
      <c r="A2" s="8" t="s">
        <v>33</v>
      </c>
      <c r="B2" s="9" t="s">
        <v>34</v>
      </c>
    </row>
    <row r="3" customFormat="false" ht="15" hidden="false" customHeight="false" outlineLevel="0" collapsed="false">
      <c r="A3" s="8" t="s">
        <v>35</v>
      </c>
      <c r="B3" s="9" t="s">
        <v>36</v>
      </c>
    </row>
    <row r="4" customFormat="false" ht="15" hidden="false" customHeight="false" outlineLevel="0" collapsed="false">
      <c r="A4" s="8" t="s">
        <v>37</v>
      </c>
      <c r="B4" s="9" t="s">
        <v>38</v>
      </c>
    </row>
    <row r="5" customFormat="false" ht="15" hidden="false" customHeight="false" outlineLevel="0" collapsed="false">
      <c r="A5" s="8" t="s">
        <v>39</v>
      </c>
      <c r="B5" s="9" t="s">
        <v>40</v>
      </c>
    </row>
    <row r="6" customFormat="false" ht="15" hidden="false" customHeight="false" outlineLevel="0" collapsed="false">
      <c r="A6" s="8" t="s">
        <v>41</v>
      </c>
      <c r="B6" s="9" t="s">
        <v>42</v>
      </c>
    </row>
    <row r="7" customFormat="false" ht="15" hidden="false" customHeight="false" outlineLevel="0" collapsed="false">
      <c r="A7" s="8" t="s">
        <v>43</v>
      </c>
      <c r="B7" s="9" t="s">
        <v>44</v>
      </c>
    </row>
    <row r="8" customFormat="false" ht="15" hidden="false" customHeight="false" outlineLevel="0" collapsed="false">
      <c r="A8" s="8" t="s">
        <v>45</v>
      </c>
      <c r="B8" s="9" t="s">
        <v>46</v>
      </c>
    </row>
    <row r="9" customFormat="false" ht="15" hidden="false" customHeight="false" outlineLevel="0" collapsed="false">
      <c r="A9" s="8" t="s">
        <v>47</v>
      </c>
      <c r="B9" s="9" t="n">
        <v>-0.12</v>
      </c>
    </row>
    <row r="10" customFormat="false" ht="15" hidden="false" customHeight="false" outlineLevel="0" collapsed="false">
      <c r="A10" s="8" t="s">
        <v>48</v>
      </c>
      <c r="B10" s="9" t="n">
        <v>-78.55</v>
      </c>
    </row>
    <row r="11" customFormat="false" ht="15" hidden="false" customHeight="false" outlineLevel="0" collapsed="false">
      <c r="A11" s="8" t="s">
        <v>49</v>
      </c>
      <c r="B11" s="9" t="n">
        <v>10</v>
      </c>
    </row>
    <row r="12" customFormat="false" ht="26.85" hidden="false" customHeight="false" outlineLevel="0" collapsed="false">
      <c r="A12" s="8" t="s">
        <v>50</v>
      </c>
      <c r="B12" s="9" t="s">
        <v>51</v>
      </c>
    </row>
  </sheetData>
  <autoFilter ref="A1:B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4" min="14" style="0" width="60"/>
    <col collapsed="false" customWidth="true" hidden="false" outlineLevel="0" max="15" min="15" style="0" width="45"/>
  </cols>
  <sheetData>
    <row r="1" customFormat="false" ht="31.5" hidden="false" customHeight="true" outlineLevel="0" collapsed="false">
      <c r="A1" s="7" t="s">
        <v>52</v>
      </c>
      <c r="B1" s="7" t="s">
        <v>53</v>
      </c>
      <c r="C1" s="7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</row>
    <row r="2" customFormat="false" ht="26.85" hidden="false" customHeight="false" outlineLevel="0" collapsed="false">
      <c r="A2" s="9" t="s">
        <v>67</v>
      </c>
      <c r="B2" s="9" t="s">
        <v>68</v>
      </c>
      <c r="C2" s="9" t="s">
        <v>69</v>
      </c>
      <c r="D2" s="9" t="s">
        <v>70</v>
      </c>
      <c r="E2" s="9" t="s">
        <v>71</v>
      </c>
      <c r="F2" s="10" t="n">
        <v>-0.0003</v>
      </c>
      <c r="G2" s="10" t="n">
        <v>-78.5133</v>
      </c>
      <c r="H2" s="8" t="n">
        <f aca="false">SUMIFS(RECURSOS_DETALLE!$F:$F,RECURSOS_DETALLE!$A:$A,A2,RECURSOS_DETALLE!$G:$G,"SI")</f>
        <v>8</v>
      </c>
      <c r="I2" s="8" t="n">
        <f aca="false">SUMIFS(RECURSOS_DETALLE!$C:$C,RECURSOS_DETALLE!$A:$A,A2,RECURSOS_DETALLE!$B:$B,"Patrullero")</f>
        <v>1</v>
      </c>
      <c r="J2" s="8" t="n">
        <f aca="false">SUMIFS(RECURSOS_DETALLE!$C:$C,RECURSOS_DETALLE!$A:$A,A2,RECURSOS_DETALLE!$B:$B,"Motocicleta")</f>
        <v>2</v>
      </c>
      <c r="K2" s="9" t="s">
        <v>72</v>
      </c>
      <c r="L2" s="9" t="s">
        <v>73</v>
      </c>
      <c r="M2" s="9" t="s">
        <v>74</v>
      </c>
      <c r="N2" s="9" t="s">
        <v>75</v>
      </c>
      <c r="O2" s="9"/>
    </row>
    <row r="3" customFormat="false" ht="26.85" hidden="false" customHeight="false" outlineLevel="0" collapsed="false">
      <c r="A3" s="9" t="s">
        <v>76</v>
      </c>
      <c r="B3" s="9" t="s">
        <v>77</v>
      </c>
      <c r="C3" s="9" t="s">
        <v>77</v>
      </c>
      <c r="D3" s="9" t="s">
        <v>70</v>
      </c>
      <c r="E3" s="9" t="s">
        <v>71</v>
      </c>
      <c r="F3" s="10" t="n">
        <v>0.129</v>
      </c>
      <c r="G3" s="10" t="n">
        <v>-78.668</v>
      </c>
      <c r="H3" s="8" t="n">
        <f aca="false">SUMIFS(RECURSOS_DETALLE!$F:$F,RECURSOS_DETALLE!$A:$A,A3,RECURSOS_DETALLE!$G:$G,"SI")</f>
        <v>8</v>
      </c>
      <c r="I3" s="8" t="n">
        <f aca="false">SUMIFS(RECURSOS_DETALLE!$C:$C,RECURSOS_DETALLE!$A:$A,A3,RECURSOS_DETALLE!$B:$B,"Patrullero")</f>
        <v>1</v>
      </c>
      <c r="J3" s="8" t="n">
        <f aca="false">SUMIFS(RECURSOS_DETALLE!$C:$C,RECURSOS_DETALLE!$A:$A,A3,RECURSOS_DETALLE!$B:$B,"Motocicleta")</f>
        <v>2</v>
      </c>
      <c r="K3" s="9" t="s">
        <v>72</v>
      </c>
      <c r="L3" s="9" t="s">
        <v>73</v>
      </c>
      <c r="M3" s="9" t="s">
        <v>74</v>
      </c>
      <c r="N3" s="9" t="s">
        <v>75</v>
      </c>
      <c r="O3" s="9" t="s">
        <v>78</v>
      </c>
    </row>
    <row r="4" customFormat="false" ht="26.85" hidden="false" customHeight="false" outlineLevel="0" collapsed="false">
      <c r="A4" s="9" t="s">
        <v>79</v>
      </c>
      <c r="B4" s="9" t="s">
        <v>80</v>
      </c>
      <c r="C4" s="9" t="s">
        <v>80</v>
      </c>
      <c r="D4" s="9" t="s">
        <v>81</v>
      </c>
      <c r="E4" s="9" t="s">
        <v>71</v>
      </c>
      <c r="F4" s="10" t="n">
        <v>-0.22</v>
      </c>
      <c r="G4" s="10" t="n">
        <v>-78.5125</v>
      </c>
      <c r="H4" s="8" t="n">
        <f aca="false">SUMIFS(RECURSOS_DETALLE!$F:$F,RECURSOS_DETALLE!$A:$A,A4,RECURSOS_DETALLE!$G:$G,"SI")</f>
        <v>6</v>
      </c>
      <c r="I4" s="8" t="n">
        <f aca="false">SUMIFS(RECURSOS_DETALLE!$C:$C,RECURSOS_DETALLE!$A:$A,A4,RECURSOS_DETALLE!$B:$B,"Patrullero")</f>
        <v>2</v>
      </c>
      <c r="J4" s="8" t="n">
        <f aca="false">SUMIFS(RECURSOS_DETALLE!$C:$C,RECURSOS_DETALLE!$A:$A,A4,RECURSOS_DETALLE!$B:$B,"Motocicleta")</f>
        <v>0</v>
      </c>
      <c r="K4" s="9" t="s">
        <v>82</v>
      </c>
      <c r="L4" s="9" t="s">
        <v>83</v>
      </c>
      <c r="M4" s="9" t="s">
        <v>84</v>
      </c>
      <c r="N4" s="9" t="s">
        <v>85</v>
      </c>
      <c r="O4" s="9" t="s">
        <v>86</v>
      </c>
    </row>
    <row r="5" customFormat="false" ht="26.85" hidden="false" customHeight="false" outlineLevel="0" collapsed="false">
      <c r="A5" s="9" t="s">
        <v>87</v>
      </c>
      <c r="B5" s="9" t="s">
        <v>88</v>
      </c>
      <c r="C5" s="9" t="s">
        <v>89</v>
      </c>
      <c r="D5" s="9" t="s">
        <v>90</v>
      </c>
      <c r="E5" s="9" t="s">
        <v>71</v>
      </c>
      <c r="F5" s="10" t="n">
        <v>-0.006</v>
      </c>
      <c r="G5" s="10" t="n">
        <v>-78.452</v>
      </c>
      <c r="H5" s="8" t="n">
        <f aca="false">SUMIFS(RECURSOS_DETALLE!$F:$F,RECURSOS_DETALLE!$A:$A,A5,RECURSOS_DETALLE!$G:$G,"SI")</f>
        <v>2</v>
      </c>
      <c r="I5" s="8" t="n">
        <f aca="false">SUMIFS(RECURSOS_DETALLE!$C:$C,RECURSOS_DETALLE!$A:$A,A5,RECURSOS_DETALLE!$B:$B,"Patrullero")</f>
        <v>1</v>
      </c>
      <c r="J5" s="8" t="n">
        <f aca="false">SUMIFS(RECURSOS_DETALLE!$C:$C,RECURSOS_DETALLE!$A:$A,A5,RECURSOS_DETALLE!$B:$B,"Motocicleta")</f>
        <v>0</v>
      </c>
      <c r="K5" s="9" t="s">
        <v>72</v>
      </c>
      <c r="L5" s="9" t="s">
        <v>73</v>
      </c>
      <c r="M5" s="9" t="s">
        <v>74</v>
      </c>
      <c r="N5" s="9" t="s">
        <v>91</v>
      </c>
      <c r="O5" s="9" t="s">
        <v>92</v>
      </c>
    </row>
    <row r="6" customFormat="false" ht="26.85" hidden="false" customHeight="false" outlineLevel="0" collapsed="false">
      <c r="A6" s="9" t="s">
        <v>93</v>
      </c>
      <c r="B6" s="9" t="s">
        <v>94</v>
      </c>
      <c r="C6" s="9" t="s">
        <v>94</v>
      </c>
      <c r="D6" s="9" t="s">
        <v>95</v>
      </c>
      <c r="E6" s="9" t="s">
        <v>71</v>
      </c>
      <c r="F6" s="10" t="n">
        <v>-0.02</v>
      </c>
      <c r="G6" s="10" t="n">
        <v>-78.5</v>
      </c>
      <c r="H6" s="8" t="n">
        <v>0</v>
      </c>
      <c r="I6" s="8" t="n">
        <v>0</v>
      </c>
      <c r="J6" s="8" t="n">
        <v>0</v>
      </c>
      <c r="K6" s="9" t="s">
        <v>96</v>
      </c>
      <c r="L6" s="9" t="s">
        <v>73</v>
      </c>
      <c r="M6" s="9" t="s">
        <v>97</v>
      </c>
      <c r="N6" s="9" t="s">
        <v>98</v>
      </c>
      <c r="O6" s="9" t="s">
        <v>99</v>
      </c>
    </row>
    <row r="8" customFormat="false" ht="15" hidden="false" customHeight="false" outlineLevel="0" collapsed="false">
      <c r="A8" s="11" t="s">
        <v>100</v>
      </c>
    </row>
  </sheetData>
  <autoFilter ref="A1:O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31.5" hidden="false" customHeight="true" outlineLevel="0" collapsed="false">
      <c r="A1" s="7" t="s">
        <v>52</v>
      </c>
      <c r="B1" s="7" t="s">
        <v>101</v>
      </c>
      <c r="C1" s="7" t="s">
        <v>102</v>
      </c>
      <c r="D1" s="7" t="s">
        <v>103</v>
      </c>
      <c r="E1" s="7" t="s">
        <v>104</v>
      </c>
      <c r="F1" s="7" t="s">
        <v>105</v>
      </c>
      <c r="G1" s="7" t="s">
        <v>106</v>
      </c>
    </row>
    <row r="2" customFormat="false" ht="15" hidden="false" customHeight="false" outlineLevel="0" collapsed="false">
      <c r="A2" s="9" t="s">
        <v>67</v>
      </c>
      <c r="B2" s="9" t="s">
        <v>107</v>
      </c>
      <c r="C2" s="9" t="n">
        <v>4</v>
      </c>
      <c r="D2" s="9" t="n">
        <v>1</v>
      </c>
      <c r="E2" s="9" t="s">
        <v>108</v>
      </c>
      <c r="F2" s="8" t="n">
        <f aca="false">C2*D2</f>
        <v>4</v>
      </c>
      <c r="G2" s="9" t="s">
        <v>109</v>
      </c>
    </row>
    <row r="3" customFormat="false" ht="15" hidden="false" customHeight="false" outlineLevel="0" collapsed="false">
      <c r="A3" s="9" t="s">
        <v>67</v>
      </c>
      <c r="B3" s="9" t="s">
        <v>110</v>
      </c>
      <c r="C3" s="9" t="n">
        <v>1</v>
      </c>
      <c r="D3" s="9" t="n">
        <v>2</v>
      </c>
      <c r="E3" s="9" t="s">
        <v>111</v>
      </c>
      <c r="F3" s="8" t="n">
        <f aca="false">C3*D3</f>
        <v>2</v>
      </c>
      <c r="G3" s="9" t="s">
        <v>109</v>
      </c>
    </row>
    <row r="4" customFormat="false" ht="15" hidden="false" customHeight="false" outlineLevel="0" collapsed="false">
      <c r="A4" s="9" t="s">
        <v>67</v>
      </c>
      <c r="B4" s="9" t="s">
        <v>112</v>
      </c>
      <c r="C4" s="9" t="n">
        <v>2</v>
      </c>
      <c r="D4" s="9" t="n">
        <v>1</v>
      </c>
      <c r="E4" s="9" t="s">
        <v>113</v>
      </c>
      <c r="F4" s="8" t="n">
        <f aca="false">C4*D4</f>
        <v>2</v>
      </c>
      <c r="G4" s="9" t="s">
        <v>109</v>
      </c>
    </row>
    <row r="5" customFormat="false" ht="15" hidden="false" customHeight="false" outlineLevel="0" collapsed="false">
      <c r="A5" s="9" t="s">
        <v>76</v>
      </c>
      <c r="B5" s="9" t="s">
        <v>107</v>
      </c>
      <c r="C5" s="9" t="n">
        <v>4</v>
      </c>
      <c r="D5" s="9" t="n">
        <v>1</v>
      </c>
      <c r="E5" s="9" t="s">
        <v>108</v>
      </c>
      <c r="F5" s="8" t="n">
        <f aca="false">C5*D5</f>
        <v>4</v>
      </c>
      <c r="G5" s="9" t="s">
        <v>109</v>
      </c>
    </row>
    <row r="6" customFormat="false" ht="15" hidden="false" customHeight="false" outlineLevel="0" collapsed="false">
      <c r="A6" s="9" t="s">
        <v>76</v>
      </c>
      <c r="B6" s="9" t="s">
        <v>110</v>
      </c>
      <c r="C6" s="9" t="n">
        <v>1</v>
      </c>
      <c r="D6" s="9" t="n">
        <v>2</v>
      </c>
      <c r="E6" s="9" t="s">
        <v>111</v>
      </c>
      <c r="F6" s="8" t="n">
        <f aca="false">C6*D6</f>
        <v>2</v>
      </c>
      <c r="G6" s="9" t="s">
        <v>109</v>
      </c>
    </row>
    <row r="7" customFormat="false" ht="15" hidden="false" customHeight="false" outlineLevel="0" collapsed="false">
      <c r="A7" s="9" t="s">
        <v>76</v>
      </c>
      <c r="B7" s="9" t="s">
        <v>112</v>
      </c>
      <c r="C7" s="9" t="n">
        <v>2</v>
      </c>
      <c r="D7" s="9" t="n">
        <v>1</v>
      </c>
      <c r="E7" s="9" t="s">
        <v>113</v>
      </c>
      <c r="F7" s="8" t="n">
        <f aca="false">C7*D7</f>
        <v>2</v>
      </c>
      <c r="G7" s="9" t="s">
        <v>109</v>
      </c>
    </row>
    <row r="8" customFormat="false" ht="15" hidden="false" customHeight="false" outlineLevel="0" collapsed="false">
      <c r="A8" s="9" t="s">
        <v>79</v>
      </c>
      <c r="B8" s="9" t="s">
        <v>114</v>
      </c>
      <c r="C8" s="9" t="n">
        <v>2</v>
      </c>
      <c r="D8" s="9" t="n">
        <v>3</v>
      </c>
      <c r="E8" s="9" t="s">
        <v>115</v>
      </c>
      <c r="F8" s="8" t="n">
        <f aca="false">C8*D8</f>
        <v>6</v>
      </c>
      <c r="G8" s="9" t="s">
        <v>109</v>
      </c>
    </row>
    <row r="9" customFormat="false" ht="15" hidden="false" customHeight="false" outlineLevel="0" collapsed="false">
      <c r="A9" s="9" t="s">
        <v>79</v>
      </c>
      <c r="B9" s="9" t="s">
        <v>110</v>
      </c>
      <c r="C9" s="9" t="n">
        <v>2</v>
      </c>
      <c r="D9" s="9" t="n">
        <v>0</v>
      </c>
      <c r="E9" s="9" t="s">
        <v>116</v>
      </c>
      <c r="F9" s="8" t="n">
        <f aca="false">C9*D9</f>
        <v>0</v>
      </c>
      <c r="G9" s="9" t="s">
        <v>117</v>
      </c>
    </row>
    <row r="10" customFormat="false" ht="15" hidden="false" customHeight="false" outlineLevel="0" collapsed="false">
      <c r="A10" s="9" t="s">
        <v>79</v>
      </c>
      <c r="B10" s="9" t="s">
        <v>118</v>
      </c>
      <c r="C10" s="9" t="n">
        <v>0</v>
      </c>
      <c r="D10" s="9" t="n">
        <v>0</v>
      </c>
      <c r="E10" s="9" t="s">
        <v>119</v>
      </c>
      <c r="F10" s="8" t="n">
        <f aca="false">C10*D10</f>
        <v>0</v>
      </c>
      <c r="G10" s="9" t="s">
        <v>117</v>
      </c>
    </row>
    <row r="11" customFormat="false" ht="15" hidden="false" customHeight="false" outlineLevel="0" collapsed="false">
      <c r="A11" s="9" t="s">
        <v>87</v>
      </c>
      <c r="B11" s="9" t="s">
        <v>107</v>
      </c>
      <c r="C11" s="9" t="n">
        <v>2</v>
      </c>
      <c r="D11" s="9" t="n">
        <v>1</v>
      </c>
      <c r="E11" s="9" t="s">
        <v>120</v>
      </c>
      <c r="F11" s="8" t="n">
        <f aca="false">C11*D11</f>
        <v>2</v>
      </c>
      <c r="G11" s="9" t="s">
        <v>109</v>
      </c>
    </row>
    <row r="12" customFormat="false" ht="26.85" hidden="false" customHeight="false" outlineLevel="0" collapsed="false">
      <c r="A12" s="9" t="s">
        <v>87</v>
      </c>
      <c r="B12" s="9" t="s">
        <v>110</v>
      </c>
      <c r="C12" s="9" t="n">
        <v>1</v>
      </c>
      <c r="D12" s="9" t="n">
        <v>2</v>
      </c>
      <c r="E12" s="9" t="s">
        <v>121</v>
      </c>
      <c r="F12" s="8" t="n">
        <f aca="false">C12*D12</f>
        <v>2</v>
      </c>
      <c r="G12" s="9" t="s">
        <v>117</v>
      </c>
    </row>
    <row r="14" customFormat="false" ht="15" hidden="false" customHeight="false" outlineLevel="0" collapsed="false">
      <c r="A14" s="11" t="s">
        <v>122</v>
      </c>
    </row>
  </sheetData>
  <autoFilter ref="A1:G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62"/>
    <col collapsed="false" customWidth="true" hidden="false" outlineLevel="0" max="7" min="7" style="0" width="11"/>
    <col collapsed="false" customWidth="true" hidden="false" outlineLevel="0" max="8" min="8" style="0" width="12"/>
  </cols>
  <sheetData>
    <row r="1" customFormat="false" ht="31.5" hidden="false" customHeight="true" outlineLevel="0" collapsed="false">
      <c r="A1" s="7" t="s">
        <v>123</v>
      </c>
      <c r="B1" s="7" t="s">
        <v>124</v>
      </c>
      <c r="C1" s="7" t="s">
        <v>56</v>
      </c>
      <c r="D1" s="7" t="s">
        <v>125</v>
      </c>
      <c r="E1" s="7" t="s">
        <v>126</v>
      </c>
      <c r="F1" s="7" t="s">
        <v>127</v>
      </c>
      <c r="G1" s="7" t="s">
        <v>63</v>
      </c>
      <c r="H1" s="7" t="s">
        <v>64</v>
      </c>
    </row>
    <row r="2" customFormat="false" ht="15" hidden="false" customHeight="false" outlineLevel="0" collapsed="false">
      <c r="A2" s="9" t="s">
        <v>128</v>
      </c>
      <c r="B2" s="9" t="s">
        <v>129</v>
      </c>
      <c r="C2" s="9" t="s">
        <v>130</v>
      </c>
      <c r="D2" s="9" t="n">
        <v>-0.3126</v>
      </c>
      <c r="E2" s="9" t="n">
        <v>-78.4453</v>
      </c>
      <c r="F2" s="9" t="s">
        <v>131</v>
      </c>
      <c r="G2" s="9" t="s">
        <v>132</v>
      </c>
      <c r="H2" s="9" t="s">
        <v>133</v>
      </c>
    </row>
    <row r="3" customFormat="false" ht="15" hidden="false" customHeight="false" outlineLevel="0" collapsed="false">
      <c r="A3" s="9" t="s">
        <v>134</v>
      </c>
      <c r="B3" s="9" t="s">
        <v>135</v>
      </c>
      <c r="C3" s="9" t="s">
        <v>130</v>
      </c>
      <c r="D3" s="9" t="n">
        <v>-0.5104</v>
      </c>
      <c r="E3" s="9" t="n">
        <v>-78.5672</v>
      </c>
      <c r="F3" s="9" t="s">
        <v>131</v>
      </c>
      <c r="G3" s="9" t="s">
        <v>132</v>
      </c>
      <c r="H3" s="9" t="s">
        <v>133</v>
      </c>
    </row>
    <row r="4" customFormat="false" ht="26.85" hidden="false" customHeight="false" outlineLevel="0" collapsed="false">
      <c r="A4" s="9" t="s">
        <v>136</v>
      </c>
      <c r="B4" s="9" t="s">
        <v>137</v>
      </c>
      <c r="C4" s="9" t="s">
        <v>130</v>
      </c>
      <c r="D4" s="9" t="n">
        <v>0.0861</v>
      </c>
      <c r="E4" s="9" t="n">
        <v>-79.051</v>
      </c>
      <c r="F4" s="9" t="s">
        <v>138</v>
      </c>
      <c r="G4" s="9" t="s">
        <v>132</v>
      </c>
      <c r="H4" s="9" t="s">
        <v>133</v>
      </c>
    </row>
    <row r="5" customFormat="false" ht="26.85" hidden="false" customHeight="false" outlineLevel="0" collapsed="false">
      <c r="A5" s="9" t="s">
        <v>139</v>
      </c>
      <c r="B5" s="9" t="s">
        <v>140</v>
      </c>
      <c r="C5" s="9" t="s">
        <v>130</v>
      </c>
      <c r="D5" s="9" t="n">
        <v>0.1236</v>
      </c>
      <c r="E5" s="9" t="n">
        <v>-79.2531</v>
      </c>
      <c r="F5" s="9" t="s">
        <v>138</v>
      </c>
      <c r="G5" s="9" t="s">
        <v>132</v>
      </c>
      <c r="H5" s="9" t="s">
        <v>133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31.5" hidden="false" customHeight="true" outlineLevel="0" collapsed="false">
      <c r="A1" s="7" t="s">
        <v>141</v>
      </c>
      <c r="B1" s="7" t="s">
        <v>53</v>
      </c>
      <c r="C1" s="7" t="s">
        <v>142</v>
      </c>
      <c r="D1" s="7" t="s">
        <v>57</v>
      </c>
      <c r="E1" s="7" t="s">
        <v>58</v>
      </c>
      <c r="F1" s="7" t="s">
        <v>143</v>
      </c>
      <c r="G1" s="7" t="s">
        <v>144</v>
      </c>
      <c r="H1" s="7" t="s">
        <v>145</v>
      </c>
      <c r="I1" s="7" t="s">
        <v>63</v>
      </c>
      <c r="J1" s="7" t="s">
        <v>64</v>
      </c>
    </row>
    <row r="2" customFormat="false" ht="15" hidden="false" customHeight="false" outlineLevel="0" collapsed="false">
      <c r="A2" s="9" t="s">
        <v>146</v>
      </c>
      <c r="B2" s="9" t="s">
        <v>147</v>
      </c>
      <c r="C2" s="9" t="s">
        <v>148</v>
      </c>
      <c r="D2" s="9" t="n">
        <v>0.085</v>
      </c>
      <c r="E2" s="9" t="n">
        <v>-78.6</v>
      </c>
      <c r="F2" s="9" t="s">
        <v>149</v>
      </c>
      <c r="G2" s="9" t="s">
        <v>76</v>
      </c>
      <c r="H2" s="9" t="s">
        <v>150</v>
      </c>
      <c r="I2" s="9" t="s">
        <v>73</v>
      </c>
      <c r="J2" s="9" t="s">
        <v>151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31.5" hidden="false" customHeight="true" outlineLevel="0" collapsed="false">
      <c r="A1" s="7" t="s">
        <v>152</v>
      </c>
      <c r="B1" s="7" t="s">
        <v>153</v>
      </c>
      <c r="C1" s="7" t="s">
        <v>154</v>
      </c>
      <c r="D1" s="7" t="s">
        <v>57</v>
      </c>
      <c r="E1" s="7" t="s">
        <v>58</v>
      </c>
      <c r="F1" s="7" t="s">
        <v>155</v>
      </c>
      <c r="G1" s="7" t="s">
        <v>145</v>
      </c>
      <c r="H1" s="7" t="s">
        <v>63</v>
      </c>
      <c r="I1" s="7" t="s">
        <v>156</v>
      </c>
    </row>
    <row r="2" customFormat="false" ht="15" hidden="false" customHeight="false" outlineLevel="0" collapsed="false">
      <c r="A2" s="9" t="s">
        <v>149</v>
      </c>
      <c r="B2" s="9" t="s">
        <v>157</v>
      </c>
      <c r="C2" s="9" t="n">
        <v>1</v>
      </c>
      <c r="D2" s="9" t="n">
        <v>-0.02</v>
      </c>
      <c r="E2" s="9" t="n">
        <v>-78.5</v>
      </c>
      <c r="F2" s="9" t="s">
        <v>94</v>
      </c>
      <c r="G2" s="9" t="s">
        <v>158</v>
      </c>
      <c r="H2" s="9" t="s">
        <v>73</v>
      </c>
      <c r="I2" s="9" t="s">
        <v>159</v>
      </c>
    </row>
    <row r="3" customFormat="false" ht="15" hidden="false" customHeight="false" outlineLevel="0" collapsed="false">
      <c r="A3" s="9" t="s">
        <v>149</v>
      </c>
      <c r="B3" s="9" t="s">
        <v>157</v>
      </c>
      <c r="C3" s="9" t="n">
        <v>2</v>
      </c>
      <c r="D3" s="9" t="n">
        <v>-0.0003</v>
      </c>
      <c r="E3" s="9" t="n">
        <v>-78.5133</v>
      </c>
      <c r="F3" s="9" t="s">
        <v>69</v>
      </c>
      <c r="G3" s="9" t="s">
        <v>158</v>
      </c>
      <c r="H3" s="9" t="s">
        <v>73</v>
      </c>
      <c r="I3" s="9" t="s">
        <v>159</v>
      </c>
    </row>
    <row r="4" customFormat="false" ht="15" hidden="false" customHeight="false" outlineLevel="0" collapsed="false">
      <c r="A4" s="9" t="s">
        <v>149</v>
      </c>
      <c r="B4" s="9" t="s">
        <v>157</v>
      </c>
      <c r="C4" s="9" t="n">
        <v>3</v>
      </c>
      <c r="D4" s="9" t="n">
        <v>0.03</v>
      </c>
      <c r="E4" s="9" t="n">
        <v>-78.56</v>
      </c>
      <c r="F4" s="9" t="s">
        <v>160</v>
      </c>
      <c r="G4" s="9" t="s">
        <v>158</v>
      </c>
      <c r="H4" s="9" t="s">
        <v>73</v>
      </c>
      <c r="I4" s="9" t="s">
        <v>159</v>
      </c>
    </row>
    <row r="5" customFormat="false" ht="15" hidden="false" customHeight="false" outlineLevel="0" collapsed="false">
      <c r="A5" s="9" t="s">
        <v>149</v>
      </c>
      <c r="B5" s="9" t="s">
        <v>157</v>
      </c>
      <c r="C5" s="9" t="n">
        <v>4</v>
      </c>
      <c r="D5" s="9" t="n">
        <v>0.06</v>
      </c>
      <c r="E5" s="9" t="n">
        <v>-78.6</v>
      </c>
      <c r="F5" s="9" t="s">
        <v>160</v>
      </c>
      <c r="G5" s="9" t="s">
        <v>158</v>
      </c>
      <c r="H5" s="9" t="s">
        <v>73</v>
      </c>
      <c r="I5" s="9" t="s">
        <v>159</v>
      </c>
    </row>
    <row r="6" customFormat="false" ht="15" hidden="false" customHeight="false" outlineLevel="0" collapsed="false">
      <c r="A6" s="9" t="s">
        <v>149</v>
      </c>
      <c r="B6" s="9" t="s">
        <v>157</v>
      </c>
      <c r="C6" s="9" t="n">
        <v>5</v>
      </c>
      <c r="D6" s="9" t="n">
        <v>0.085</v>
      </c>
      <c r="E6" s="9" t="n">
        <v>-78.6</v>
      </c>
      <c r="F6" s="9" t="s">
        <v>161</v>
      </c>
      <c r="G6" s="9" t="s">
        <v>158</v>
      </c>
      <c r="H6" s="9" t="s">
        <v>73</v>
      </c>
      <c r="I6" s="9" t="s">
        <v>159</v>
      </c>
    </row>
    <row r="7" customFormat="false" ht="15" hidden="false" customHeight="false" outlineLevel="0" collapsed="false">
      <c r="A7" s="9" t="s">
        <v>149</v>
      </c>
      <c r="B7" s="9" t="s">
        <v>157</v>
      </c>
      <c r="C7" s="9" t="n">
        <v>6</v>
      </c>
      <c r="D7" s="9" t="n">
        <v>0.11</v>
      </c>
      <c r="E7" s="9" t="n">
        <v>-78.64</v>
      </c>
      <c r="F7" s="9" t="s">
        <v>162</v>
      </c>
      <c r="G7" s="9" t="s">
        <v>158</v>
      </c>
      <c r="H7" s="9" t="s">
        <v>73</v>
      </c>
      <c r="I7" s="9" t="s">
        <v>159</v>
      </c>
    </row>
    <row r="8" customFormat="false" ht="15" hidden="false" customHeight="false" outlineLevel="0" collapsed="false">
      <c r="A8" s="9" t="s">
        <v>149</v>
      </c>
      <c r="B8" s="9" t="s">
        <v>157</v>
      </c>
      <c r="C8" s="9" t="n">
        <v>7</v>
      </c>
      <c r="D8" s="9" t="n">
        <v>0.129</v>
      </c>
      <c r="E8" s="9" t="n">
        <v>-78.668</v>
      </c>
      <c r="F8" s="9" t="s">
        <v>77</v>
      </c>
      <c r="G8" s="9" t="s">
        <v>158</v>
      </c>
      <c r="H8" s="9" t="s">
        <v>73</v>
      </c>
      <c r="I8" s="9" t="s">
        <v>159</v>
      </c>
    </row>
    <row r="10" customFormat="false" ht="15" hidden="false" customHeight="false" outlineLevel="0" collapsed="false">
      <c r="A10" s="11" t="s">
        <v>163</v>
      </c>
    </row>
  </sheetData>
  <autoFilter ref="A1:I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0"/>
  </cols>
  <sheetData>
    <row r="1" customFormat="false" ht="31.5" hidden="false" customHeight="true" outlineLevel="0" collapsed="false">
      <c r="A1" s="7" t="s">
        <v>164</v>
      </c>
      <c r="B1" s="7" t="s">
        <v>142</v>
      </c>
      <c r="C1" s="7" t="s">
        <v>57</v>
      </c>
      <c r="D1" s="7" t="s">
        <v>58</v>
      </c>
    </row>
    <row r="2" customFormat="false" ht="15" hidden="false" customHeight="false" outlineLevel="0" collapsed="false">
      <c r="A2" s="9" t="s">
        <v>165</v>
      </c>
      <c r="B2" s="9" t="s">
        <v>166</v>
      </c>
      <c r="C2" s="9" t="n">
        <v>0.25</v>
      </c>
      <c r="D2" s="9" t="n">
        <v>-78.7</v>
      </c>
    </row>
    <row r="3" customFormat="false" ht="15" hidden="false" customHeight="false" outlineLevel="0" collapsed="false">
      <c r="A3" s="9" t="s">
        <v>167</v>
      </c>
      <c r="B3" s="9" t="s">
        <v>168</v>
      </c>
      <c r="C3" s="9" t="n">
        <v>0.3</v>
      </c>
      <c r="D3" s="9" t="n">
        <v>-78.35</v>
      </c>
    </row>
    <row r="4" customFormat="false" ht="15" hidden="false" customHeight="false" outlineLevel="0" collapsed="false">
      <c r="A4" s="9" t="s">
        <v>169</v>
      </c>
      <c r="B4" s="9" t="s">
        <v>168</v>
      </c>
      <c r="C4" s="9" t="n">
        <v>-0.1</v>
      </c>
      <c r="D4" s="9" t="n">
        <v>-78.1</v>
      </c>
    </row>
    <row r="5" customFormat="false" ht="15" hidden="false" customHeight="false" outlineLevel="0" collapsed="false">
      <c r="A5" s="9" t="s">
        <v>170</v>
      </c>
      <c r="B5" s="9" t="s">
        <v>168</v>
      </c>
      <c r="C5" s="9" t="n">
        <v>-0.7</v>
      </c>
      <c r="D5" s="9" t="n">
        <v>-78.6</v>
      </c>
    </row>
    <row r="6" customFormat="false" ht="26.85" hidden="false" customHeight="false" outlineLevel="0" collapsed="false">
      <c r="A6" s="9" t="s">
        <v>171</v>
      </c>
      <c r="B6" s="9" t="s">
        <v>172</v>
      </c>
      <c r="C6" s="9" t="n">
        <v>-0.15</v>
      </c>
      <c r="D6" s="9" t="n">
        <v>-79.05</v>
      </c>
    </row>
    <row r="7" customFormat="false" ht="15" hidden="false" customHeight="false" outlineLevel="0" collapsed="false">
      <c r="A7" s="9" t="s">
        <v>173</v>
      </c>
      <c r="B7" s="9" t="s">
        <v>174</v>
      </c>
      <c r="C7" s="9" t="n">
        <v>-0.22</v>
      </c>
      <c r="D7" s="9" t="n">
        <v>-78.5125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31.5" hidden="false" customHeight="true" outlineLevel="0" collapsed="false">
      <c r="A1" s="7" t="s">
        <v>175</v>
      </c>
      <c r="B1" s="7" t="s">
        <v>176</v>
      </c>
      <c r="C1" s="7" t="s">
        <v>177</v>
      </c>
      <c r="D1" s="7" t="s">
        <v>178</v>
      </c>
      <c r="E1" s="7" t="s">
        <v>179</v>
      </c>
    </row>
    <row r="2" customFormat="false" ht="15" hidden="false" customHeight="false" outlineLevel="0" collapsed="false">
      <c r="A2" s="9" t="s">
        <v>180</v>
      </c>
      <c r="B2" s="9" t="s">
        <v>181</v>
      </c>
      <c r="C2" s="9" t="s">
        <v>182</v>
      </c>
      <c r="D2" s="9" t="n">
        <v>24</v>
      </c>
      <c r="E2" s="9" t="n">
        <v>8</v>
      </c>
    </row>
    <row r="3" customFormat="false" ht="15" hidden="false" customHeight="false" outlineLevel="0" collapsed="false">
      <c r="A3" s="9" t="s">
        <v>183</v>
      </c>
      <c r="B3" s="9" t="s">
        <v>182</v>
      </c>
      <c r="C3" s="9" t="s">
        <v>184</v>
      </c>
      <c r="D3" s="9" t="n">
        <v>24</v>
      </c>
      <c r="E3" s="9" t="n">
        <v>8</v>
      </c>
    </row>
    <row r="4" customFormat="false" ht="15" hidden="false" customHeight="false" outlineLevel="0" collapsed="false">
      <c r="A4" s="9" t="s">
        <v>185</v>
      </c>
      <c r="B4" s="9" t="s">
        <v>184</v>
      </c>
      <c r="C4" s="9" t="s">
        <v>181</v>
      </c>
      <c r="D4" s="9" t="n">
        <v>24</v>
      </c>
      <c r="E4" s="9" t="n">
        <v>8</v>
      </c>
    </row>
    <row r="6" customFormat="false" ht="15" hidden="false" customHeight="false" outlineLevel="0" collapsed="false">
      <c r="A6" s="6" t="s">
        <v>186</v>
      </c>
      <c r="D6" s="12" t="n">
        <f aca="false">RESUMEN!B3</f>
        <v>24</v>
      </c>
    </row>
    <row r="7" customFormat="false" ht="15" hidden="false" customHeight="false" outlineLevel="0" collapsed="false">
      <c r="A7" s="6" t="s">
        <v>187</v>
      </c>
      <c r="D7" s="12" t="n">
        <f aca="false">SUMPRODUCT(D2:D4,E2:E4)</f>
        <v>576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2"/>
  </cols>
  <sheetData>
    <row r="1" customFormat="false" ht="31.5" hidden="false" customHeight="true" outlineLevel="0" collapsed="false">
      <c r="A1" s="7" t="s">
        <v>188</v>
      </c>
      <c r="B1" s="7" t="s">
        <v>102</v>
      </c>
      <c r="C1" s="7" t="s">
        <v>189</v>
      </c>
    </row>
    <row r="2" customFormat="false" ht="15" hidden="false" customHeight="false" outlineLevel="0" collapsed="false">
      <c r="A2" s="8" t="s">
        <v>190</v>
      </c>
      <c r="B2" s="8" t="n">
        <f aca="false">SUMIFS(RECURSOS_DETALLE!C:C,RECURSOS_DETALLE!B:B,"Patrullero")</f>
        <v>5</v>
      </c>
      <c r="C2" s="8" t="s">
        <v>191</v>
      </c>
    </row>
    <row r="3" customFormat="false" ht="15" hidden="false" customHeight="false" outlineLevel="0" collapsed="false">
      <c r="A3" s="8" t="s">
        <v>192</v>
      </c>
      <c r="B3" s="8" t="n">
        <f aca="false">SUMIFS(RECURSOS_DETALLE!C:C,RECURSOS_DETALLE!B:B,"Motocicleta")</f>
        <v>4</v>
      </c>
      <c r="C3" s="8" t="s">
        <v>191</v>
      </c>
    </row>
    <row r="4" customFormat="false" ht="15" hidden="false" customHeight="false" outlineLevel="0" collapsed="false">
      <c r="A4" s="13" t="s">
        <v>193</v>
      </c>
      <c r="B4" s="13" t="n">
        <f aca="false">SUM(B2:B3)</f>
        <v>9</v>
      </c>
      <c r="C4" s="8"/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14" t="s">
        <v>194</v>
      </c>
    </row>
    <row r="2" customFormat="false" ht="31.5" hidden="false" customHeight="true" outlineLevel="0" collapsed="false">
      <c r="A2" s="7" t="s">
        <v>195</v>
      </c>
      <c r="B2" s="7" t="s">
        <v>196</v>
      </c>
      <c r="C2" s="7" t="s">
        <v>197</v>
      </c>
      <c r="D2" s="7" t="s">
        <v>198</v>
      </c>
    </row>
    <row r="3" customFormat="false" ht="15" hidden="false" customHeight="false" outlineLevel="0" collapsed="false">
      <c r="A3" s="8" t="s">
        <v>199</v>
      </c>
      <c r="B3" s="8" t="n">
        <f aca="false">SUM(PUNTOS_INTERVENCION!H:H)</f>
        <v>24</v>
      </c>
      <c r="C3" s="9" t="n">
        <v>24</v>
      </c>
      <c r="D3" s="8" t="str">
        <f aca="false">IF(B3=C3,"OK","REVISAR")</f>
        <v>OK</v>
      </c>
    </row>
    <row r="4" customFormat="false" ht="15" hidden="false" customHeight="false" outlineLevel="0" collapsed="false">
      <c r="A4" s="8" t="s">
        <v>190</v>
      </c>
      <c r="B4" s="8" t="n">
        <f aca="false">LOGISTICA!B2</f>
        <v>5</v>
      </c>
      <c r="C4" s="9" t="n">
        <v>5</v>
      </c>
      <c r="D4" s="8" t="str">
        <f aca="false">IF(B4=C4,"OK","REVISAR")</f>
        <v>OK</v>
      </c>
    </row>
    <row r="5" customFormat="false" ht="15" hidden="false" customHeight="false" outlineLevel="0" collapsed="false">
      <c r="A5" s="8" t="s">
        <v>192</v>
      </c>
      <c r="B5" s="8" t="n">
        <f aca="false">LOGISTICA!B3</f>
        <v>4</v>
      </c>
      <c r="C5" s="9" t="n">
        <v>4</v>
      </c>
      <c r="D5" s="8" t="str">
        <f aca="false">IF(B5=C5,"OK","REVISAR")</f>
        <v>OK</v>
      </c>
    </row>
    <row r="6" customFormat="false" ht="15" hidden="false" customHeight="false" outlineLevel="0" collapsed="false">
      <c r="A6" s="8" t="s">
        <v>200</v>
      </c>
      <c r="B6" s="8" t="n">
        <f aca="false">LOGISTICA!B4</f>
        <v>9</v>
      </c>
      <c r="C6" s="9" t="n">
        <v>9</v>
      </c>
      <c r="D6" s="8" t="str">
        <f aca="false">IF(B6=C6,"OK","REVISAR")</f>
        <v>OK</v>
      </c>
    </row>
    <row r="7" customFormat="false" ht="15" hidden="false" customHeight="false" outlineLevel="0" collapsed="false">
      <c r="A7" s="8" t="s">
        <v>201</v>
      </c>
      <c r="B7" s="8" t="n">
        <f aca="false">COUNTIFS(PUNTOS_INTERVENCION!H:H,"&gt;0")</f>
        <v>4</v>
      </c>
      <c r="C7" s="9" t="n">
        <v>4</v>
      </c>
      <c r="D7" s="8" t="str">
        <f aca="false">IF(B7=C7,"OK","REVISAR")</f>
        <v>OK</v>
      </c>
    </row>
    <row r="8" customFormat="false" ht="15" hidden="false" customHeight="false" outlineLevel="0" collapsed="false">
      <c r="A8" s="8" t="s">
        <v>202</v>
      </c>
      <c r="B8" s="8" t="n">
        <f aca="false">COUNTA(ZONAS_COORDINACION!A:A)-1</f>
        <v>4</v>
      </c>
      <c r="C8" s="9" t="n">
        <v>4</v>
      </c>
      <c r="D8" s="8" t="str">
        <f aca="false">IF(B8=C8,"OK","REVISAR")</f>
        <v>OK</v>
      </c>
    </row>
  </sheetData>
  <autoFilter ref="A2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4" min="3" style="0" width="11"/>
    <col collapsed="false" customWidth="true" hidden="false" outlineLevel="0" max="5" min="5" style="0" width="28"/>
    <col collapsed="false" customWidth="true" hidden="false" outlineLevel="0" max="6" min="6" style="0" width="32"/>
  </cols>
  <sheetData>
    <row r="1" customFormat="false" ht="31.5" hidden="false" customHeight="true" outlineLevel="0" collapsed="false">
      <c r="A1" s="7" t="s">
        <v>203</v>
      </c>
      <c r="B1" s="7" t="s">
        <v>104</v>
      </c>
      <c r="C1" s="7" t="s">
        <v>204</v>
      </c>
      <c r="D1" s="7" t="s">
        <v>63</v>
      </c>
      <c r="E1" s="7" t="s">
        <v>205</v>
      </c>
      <c r="F1" s="7" t="s">
        <v>206</v>
      </c>
    </row>
    <row r="2" customFormat="false" ht="15" hidden="false" customHeight="false" outlineLevel="0" collapsed="false">
      <c r="A2" s="9" t="s">
        <v>207</v>
      </c>
      <c r="B2" s="9" t="s">
        <v>208</v>
      </c>
      <c r="C2" s="9" t="s">
        <v>209</v>
      </c>
      <c r="D2" s="15" t="s">
        <v>73</v>
      </c>
      <c r="E2" s="9" t="s">
        <v>210</v>
      </c>
      <c r="F2" s="9" t="s">
        <v>11</v>
      </c>
    </row>
    <row r="3" customFormat="false" ht="15" hidden="false" customHeight="false" outlineLevel="0" collapsed="false">
      <c r="A3" s="9" t="s">
        <v>211</v>
      </c>
      <c r="B3" s="9" t="s">
        <v>212</v>
      </c>
      <c r="C3" s="9" t="s">
        <v>213</v>
      </c>
      <c r="D3" s="15" t="s">
        <v>73</v>
      </c>
      <c r="E3" s="9" t="s">
        <v>214</v>
      </c>
      <c r="F3" s="9" t="s">
        <v>13</v>
      </c>
    </row>
    <row r="4" customFormat="false" ht="15" hidden="false" customHeight="false" outlineLevel="0" collapsed="false">
      <c r="A4" s="9" t="s">
        <v>215</v>
      </c>
      <c r="B4" s="9" t="s">
        <v>216</v>
      </c>
      <c r="C4" s="9" t="s">
        <v>213</v>
      </c>
      <c r="D4" s="16" t="s">
        <v>132</v>
      </c>
      <c r="E4" s="9" t="s">
        <v>217</v>
      </c>
      <c r="F4" s="9" t="s">
        <v>218</v>
      </c>
    </row>
    <row r="5" customFormat="false" ht="15" hidden="false" customHeight="false" outlineLevel="0" collapsed="false">
      <c r="A5" s="9" t="s">
        <v>219</v>
      </c>
      <c r="B5" s="9" t="s">
        <v>220</v>
      </c>
      <c r="C5" s="9" t="s">
        <v>213</v>
      </c>
      <c r="D5" s="17" t="s">
        <v>221</v>
      </c>
      <c r="E5" s="9" t="s">
        <v>217</v>
      </c>
      <c r="F5" s="9" t="s">
        <v>218</v>
      </c>
    </row>
    <row r="6" customFormat="false" ht="26.85" hidden="false" customHeight="false" outlineLevel="0" collapsed="false">
      <c r="A6" s="9" t="s">
        <v>222</v>
      </c>
      <c r="B6" s="9" t="s">
        <v>223</v>
      </c>
      <c r="C6" s="9" t="s">
        <v>224</v>
      </c>
      <c r="D6" s="18" t="s">
        <v>225</v>
      </c>
      <c r="E6" s="9" t="s">
        <v>226</v>
      </c>
      <c r="F6" s="9" t="s">
        <v>227</v>
      </c>
    </row>
    <row r="7" customFormat="false" ht="15" hidden="false" customHeight="false" outlineLevel="0" collapsed="false">
      <c r="A7" s="9" t="s">
        <v>228</v>
      </c>
      <c r="B7" s="9" t="s">
        <v>229</v>
      </c>
      <c r="C7" s="9" t="s">
        <v>224</v>
      </c>
      <c r="D7" s="16" t="s">
        <v>132</v>
      </c>
      <c r="E7" s="9" t="s">
        <v>230</v>
      </c>
      <c r="F7" s="9" t="s">
        <v>231</v>
      </c>
    </row>
    <row r="8" customFormat="false" ht="15" hidden="false" customHeight="false" outlineLevel="0" collapsed="false">
      <c r="A8" s="9" t="s">
        <v>232</v>
      </c>
      <c r="B8" s="9" t="s">
        <v>233</v>
      </c>
      <c r="C8" s="9" t="s">
        <v>224</v>
      </c>
      <c r="D8" s="16" t="s">
        <v>132</v>
      </c>
      <c r="E8" s="9" t="s">
        <v>234</v>
      </c>
      <c r="F8" s="9" t="s">
        <v>9</v>
      </c>
    </row>
    <row r="9" customFormat="false" ht="15" hidden="false" customHeight="false" outlineLevel="0" collapsed="false">
      <c r="A9" s="9" t="s">
        <v>235</v>
      </c>
      <c r="B9" s="9" t="s">
        <v>236</v>
      </c>
      <c r="C9" s="9" t="s">
        <v>209</v>
      </c>
      <c r="D9" s="15" t="s">
        <v>73</v>
      </c>
      <c r="E9" s="9" t="s">
        <v>237</v>
      </c>
      <c r="F9" s="9" t="s">
        <v>5</v>
      </c>
    </row>
    <row r="10" customFormat="false" ht="15" hidden="false" customHeight="false" outlineLevel="0" collapsed="false">
      <c r="A10" s="9" t="s">
        <v>238</v>
      </c>
      <c r="B10" s="9" t="s">
        <v>239</v>
      </c>
      <c r="C10" s="9" t="s">
        <v>209</v>
      </c>
      <c r="D10" s="16" t="s">
        <v>132</v>
      </c>
      <c r="E10" s="9" t="s">
        <v>240</v>
      </c>
      <c r="F10" s="9" t="s">
        <v>9</v>
      </c>
    </row>
  </sheetData>
  <autoFilter ref="A1:F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2026-10-16T13:19:02Z</dcterms:created>
  <dc:creator>openpyxl</dc:creator>
  <dc:description/>
  <dc:language>en-US</dc:language>
  <cp:lastModifiedBy/>
  <dcterms:modified xsi:type="dcterms:W3CDTF">2026-10-16T13:19:02Z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