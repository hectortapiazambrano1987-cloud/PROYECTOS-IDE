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9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vmlDrawing2.vml" ContentType="application/vnd.openxmlformats-officedocument.vmlDrawing"/>
  <Override PartName="/xl/drawings/drawing3.xml" ContentType="application/vnd.openxmlformats-officedocument.drawing+xml"/>
  <Override PartName="/xl/drawings/vmlDrawing3.vml" ContentType="application/vnd.openxmlformats-officedocument.vmlDrawing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8.xml" ContentType="application/vnd.openxmlformats-officedocument.drawing+xml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EME" sheetId="1" state="visible" r:id="rId3"/>
    <sheet name="EVENTO" sheetId="2" state="visible" r:id="rId4"/>
    <sheet name="PUNTOS_OPERATIVOS" sheetId="3" state="visible" r:id="rId5"/>
    <sheet name="RECURSOS_DETALLE" sheetId="4" state="visible" r:id="rId6"/>
    <sheet name="ACCIONES" sheetId="5" state="visible" r:id="rId7"/>
    <sheet name="INCIDENTES" sheetId="6" state="visible" r:id="rId8"/>
    <sheet name="LUGARES_REFERENCIA" sheetId="7" state="visible" r:id="rId9"/>
    <sheet name="RUTAS" sheetId="8" state="visible" r:id="rId10"/>
    <sheet name="PANELES_LAMINA" sheetId="9" state="visible" r:id="rId11"/>
    <sheet name="RESUMEN" sheetId="10" state="visible" r:id="rId12"/>
    <sheet name="SIMBOLOGIA" sheetId="11" state="visible" r:id="rId13"/>
    <sheet name="OBSERVACIONES" sheetId="12" state="visible" r:id="rId14"/>
  </sheets>
  <definedNames>
    <definedName function="false" hidden="true" localSheetId="4" name="_xlnm._FilterDatabase" vbProcedure="false">ACCIONES!$A$1:$C$12</definedName>
    <definedName function="false" hidden="true" localSheetId="1" name="_xlnm._FilterDatabase" vbProcedure="false">EVENTO!$A$1:$B$14</definedName>
    <definedName function="false" hidden="true" localSheetId="5" name="_xlnm._FilterDatabase" vbProcedure="false">INCIDENTES!$A$1:$K$2</definedName>
    <definedName function="false" hidden="true" localSheetId="6" name="_xlnm._FilterDatabase" vbProcedure="false">LUGARES_REFERENCIA!$A$1:$F$9</definedName>
    <definedName function="false" hidden="true" localSheetId="11" name="_xlnm._FilterDatabase" vbProcedure="false">OBSERVACIONES!$A$1:$C$7</definedName>
    <definedName function="false" hidden="true" localSheetId="8" name="_xlnm._FilterDatabase" vbProcedure="false">PANELES_LAMINA!$A$1:$G$10</definedName>
    <definedName function="false" hidden="true" localSheetId="2" name="_xlnm._FilterDatabase" vbProcedure="false">PUNTOS_OPERATIVOS!$A$1:$S$8</definedName>
    <definedName function="false" hidden="true" localSheetId="3" name="_xlnm._FilterDatabase" vbProcedure="false">RECURSOS_DETALLE!$A$1:$D$14</definedName>
    <definedName function="false" hidden="true" localSheetId="9" name="_xlnm._FilterDatabase" vbProcedure="false">RESUMEN!$A$2:$D$10</definedName>
    <definedName function="false" hidden="true" localSheetId="7" name="_xlnm._FilterDatabase" vbProcedure="false">RUTAS!$A$1:$H$10</definedName>
    <definedName function="false" hidden="true" localSheetId="10" name="_xlnm._FilterDatabase" vbProcedure="false">SIMBOLOGIA!$A$1:$E$9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2" authorId="0">
      <text>
        <r>
          <rPr>
            <sz val="10"/>
            <rFont val="Arial"/>
            <family val="2"/>
          </rPr>
          <t xml:space="preserve">Centro sugerido para un mapa real (aprox.).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2" authorId="0">
      <text>
        <r>
          <rPr>
            <sz val="10"/>
            <rFont val="Arial"/>
            <family val="2"/>
          </rPr>
          <t xml:space="preserve">Coordenada geográfica APROXIMADA (la lámina no trae coordenadas). Verificar antes de presentar.</t>
        </r>
      </text>
    </comment>
    <comment ref="G3" authorId="0">
      <text>
        <r>
          <rPr>
            <sz val="10"/>
            <rFont val="Arial"/>
            <family val="2"/>
          </rPr>
          <t xml:space="preserve">Coordenada geográfica APROXIMADA (la lámina no trae coordenadas). Verificar antes de presentar.</t>
        </r>
      </text>
    </comment>
    <comment ref="G4" authorId="0">
      <text>
        <r>
          <rPr>
            <sz val="10"/>
            <rFont val="Arial"/>
            <family val="2"/>
          </rPr>
          <t xml:space="preserve">Coordenada geográfica APROXIMADA (la lámina no trae coordenadas). Verificar antes de presentar.</t>
        </r>
      </text>
    </comment>
    <comment ref="G5" authorId="0">
      <text>
        <r>
          <rPr>
            <sz val="10"/>
            <rFont val="Arial"/>
            <family val="2"/>
          </rPr>
          <t xml:space="preserve">Coordenada geográfica APROXIMADA (la lámina no trae coordenadas). Verificar antes de presentar.</t>
        </r>
      </text>
    </comment>
    <comment ref="G6" authorId="0">
      <text>
        <r>
          <rPr>
            <sz val="10"/>
            <rFont val="Arial"/>
            <family val="2"/>
          </rPr>
          <t xml:space="preserve">Coordenada geográfica APROXIMADA (la lámina no trae coordenadas). Verificar antes de presentar.</t>
        </r>
      </text>
    </comment>
    <comment ref="G7" authorId="0">
      <text>
        <r>
          <rPr>
            <sz val="10"/>
            <rFont val="Arial"/>
            <family val="2"/>
          </rPr>
          <t xml:space="preserve">Coordenada geográfica APROXIMADA (la lámina no trae coordenadas). Verificar antes de presentar.</t>
        </r>
      </text>
    </comment>
    <comment ref="G8" authorId="0">
      <text>
        <r>
          <rPr>
            <sz val="10"/>
            <rFont val="Arial"/>
            <family val="2"/>
          </rPr>
          <t xml:space="preserve">Ubicación de la Y de Cusubamba NO verificada: ajustar con Google Maps.</t>
        </r>
      </text>
    </comment>
    <comment ref="I2" authorId="0">
      <text>
        <r>
          <rPr>
            <sz val="10"/>
            <rFont val="Arial"/>
            <family val="2"/>
          </rPr>
          <t xml:space="preserve">Posición en píxeles sobre la lámina original (1264 × 841). Sirve para colocar marcadores sobre la imagen.</t>
        </r>
      </text>
    </comment>
    <comment ref="I3" authorId="0">
      <text>
        <r>
          <rPr>
            <sz val="10"/>
            <rFont val="Arial"/>
            <family val="2"/>
          </rPr>
          <t xml:space="preserve">Posición en píxeles sobre la lámina original (1264 × 841). Sirve para colocar marcadores sobre la imagen.</t>
        </r>
      </text>
    </comment>
    <comment ref="I4" authorId="0">
      <text>
        <r>
          <rPr>
            <sz val="10"/>
            <rFont val="Arial"/>
            <family val="2"/>
          </rPr>
          <t xml:space="preserve">Posición en píxeles sobre la lámina original (1264 × 841). Sirve para colocar marcadores sobre la imagen.</t>
        </r>
      </text>
    </comment>
    <comment ref="I5" authorId="0">
      <text>
        <r>
          <rPr>
            <sz val="10"/>
            <rFont val="Arial"/>
            <family val="2"/>
          </rPr>
          <t xml:space="preserve">Posición en píxeles sobre la lámina original (1264 × 841). Sirve para colocar marcadores sobre la imagen.</t>
        </r>
      </text>
    </comment>
    <comment ref="I6" authorId="0">
      <text>
        <r>
          <rPr>
            <sz val="10"/>
            <rFont val="Arial"/>
            <family val="2"/>
          </rPr>
          <t xml:space="preserve">Posición en píxeles sobre la lámina original (1264 × 841). Sirve para colocar marcadores sobre la imagen.</t>
        </r>
      </text>
    </comment>
    <comment ref="I7" authorId="0">
      <text>
        <r>
          <rPr>
            <sz val="10"/>
            <rFont val="Arial"/>
            <family val="2"/>
          </rPr>
          <t xml:space="preserve">Posición en píxeles sobre la lámina original (1264 × 841). Sirve para colocar marcadores sobre la imagen.</t>
        </r>
      </text>
    </comment>
    <comment ref="I8" authorId="0">
      <text>
        <r>
          <rPr>
            <sz val="10"/>
            <rFont val="Arial"/>
            <family val="2"/>
          </rPr>
          <t xml:space="preserve">Posición en píxeles sobre la lámina original (1264 × 841). Sirve para colocar marcadores sobre la imagen.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2" authorId="0">
      <text>
        <r>
          <rPr>
            <sz val="10"/>
            <rFont val="Arial"/>
            <family val="2"/>
          </rPr>
          <t xml:space="preserve">Coordenada geográfica APROXIMADA (la lámina no trae coordenadas). Verificar antes de presentar.</t>
        </r>
      </text>
    </comment>
  </commentList>
</comments>
</file>

<file path=xl/sharedStrings.xml><?xml version="1.0" encoding="utf-8"?>
<sst xmlns="http://schemas.openxmlformats.org/spreadsheetml/2006/main" count="403" uniqueCount="260">
  <si>
    <t xml:space="preserve">AMT – DESPLIEGUE OPERATIVO: CONTROL, SEGURIDAD Y MOVILIDAD · Base de datos para mapa interactivo</t>
  </si>
  <si>
    <t xml:space="preserve">Hoja</t>
  </si>
  <si>
    <t xml:space="preserve">Contenido / uso en el mapa</t>
  </si>
  <si>
    <t xml:space="preserve">EVENTO</t>
  </si>
  <si>
    <t xml:space="preserve">Datos generales, lema, misión y mensaje institucional.</t>
  </si>
  <si>
    <t xml:space="preserve">PUNTOS_OPERATIVOS</t>
  </si>
  <si>
    <t xml:space="preserve">1 fila = 1 marcador con recursos: 3 puntos de control, 3 filtros de desvío y el cierre especial de Cusubamba. Clave: punto_id.</t>
  </si>
  <si>
    <t xml:space="preserve">RECURSOS_DETALLE</t>
  </si>
  <si>
    <t xml:space="preserve">Agentes, patrulleros y motos por punto (relación N:1 con PUNTOS_OPERATIVOS por punto_id). Los totales se calculan con fórmulas.</t>
  </si>
  <si>
    <t xml:space="preserve">ACCIONES</t>
  </si>
  <si>
    <t xml:space="preserve">Tareas de cada punto, para el popup o el panel de detalle.</t>
  </si>
  <si>
    <t xml:space="preserve">INCIDENTES</t>
  </si>
  <si>
    <t xml:space="preserve">Deslizamiento en el sector Tulipe / Gualea.</t>
  </si>
  <si>
    <t xml:space="preserve">LUGARES_REFERENCIA</t>
  </si>
  <si>
    <t xml:space="preserve">Rótulos del mapa (Pacto, Mashpi, Nanegalito, Quito, Alóag – Santo Domingo).</t>
  </si>
  <si>
    <t xml:space="preserve">RUTAS</t>
  </si>
  <si>
    <t xml:space="preserve">Vértices de la vía E28 y de la ruta de desvíos hacia el sur. Agrupar por ruta_id y ordenar por orden → polilínea.</t>
  </si>
  <si>
    <t xml:space="preserve">PANELES_LAMINA</t>
  </si>
  <si>
    <t xml:space="preserve">Recuadros de la lámina (x, y, ancho, alto en píxeles) para hacerlos clicables sobre la imagen.</t>
  </si>
  <si>
    <t xml:space="preserve">RESUMEN</t>
  </si>
  <si>
    <t xml:space="preserve">Totales calculados con fórmulas y verificación contra las cifras de la lámina.</t>
  </si>
  <si>
    <t xml:space="preserve">SIMBOLOGIA</t>
  </si>
  <si>
    <t xml:space="preserve">Capas, colores HEX y estilos para replicar la leyenda.</t>
  </si>
  <si>
    <t xml:space="preserve">OBSERVACIONES</t>
  </si>
  <si>
    <t xml:space="preserve">Inconsistencias y textos ilegibles detectados en la lámina.</t>
  </si>
  <si>
    <t xml:space="preserve">Convenciones</t>
  </si>
  <si>
    <t xml:space="preserve">Texto azul = dato ingresado (editable). Negro = fórmula. lat/lon en grados decimales WGS84; px_x/px_y en píxeles de la lámina (1264 × 841).</t>
  </si>
  <si>
    <t xml:space="preserve">Dos modos de mapa</t>
  </si>
  <si>
    <t xml:space="preserve">1) Sobre la lámina: usa px_x / px_y (igual que la pestaña PN de ENOS 2026). 2) Mapa real (Leaflet): usa lat / lon, que son APROXIMADAS y deben verificarse.</t>
  </si>
  <si>
    <t xml:space="preserve">campo</t>
  </si>
  <si>
    <t xml:space="preserve">valor</t>
  </si>
  <si>
    <t xml:space="preserve">institucion</t>
  </si>
  <si>
    <t xml:space="preserve">AMT – Agencia Metropolitana de Tránsito</t>
  </si>
  <si>
    <t xml:space="preserve">titulo</t>
  </si>
  <si>
    <t xml:space="preserve">Despliegue operativo: control, seguridad y movilidad</t>
  </si>
  <si>
    <t xml:space="preserve">subtitulo</t>
  </si>
  <si>
    <t xml:space="preserve">Dentro de nuestra jurisdicción</t>
  </si>
  <si>
    <t xml:space="preserve">eje_vial</t>
  </si>
  <si>
    <t xml:space="preserve">Vía E28 (Nanegalito – Pacto – Mashpi) y desvíos hacia el sur por la vía Alóag – Santo Domingo</t>
  </si>
  <si>
    <t xml:space="preserve">lema</t>
  </si>
  <si>
    <t xml:space="preserve">Por una movilidad segura y solidaria</t>
  </si>
  <si>
    <t xml:space="preserve">mision</t>
  </si>
  <si>
    <t xml:space="preserve">Garantizar la seguridad vial, facilitar la circulación y apoyar a la ciudadanía en situaciones de emergencia, dentro de nuestra jurisdicción.</t>
  </si>
  <si>
    <t xml:space="preserve">mensaje_pie</t>
  </si>
  <si>
    <t xml:space="preserve">Trabajamos por una ciudad más segura y ordenada</t>
  </si>
  <si>
    <t xml:space="preserve">total_recursos</t>
  </si>
  <si>
    <t xml:space="preserve">lamina_ancho_px</t>
  </si>
  <si>
    <t xml:space="preserve">lamina_alto_px</t>
  </si>
  <si>
    <t xml:space="preserve">centro_mapa_lat</t>
  </si>
  <si>
    <t xml:space="preserve">centro_mapa_lon</t>
  </si>
  <si>
    <t xml:space="preserve">zoom_inicial</t>
  </si>
  <si>
    <t xml:space="preserve">punto_id</t>
  </si>
  <si>
    <t xml:space="preserve">numero</t>
  </si>
  <si>
    <t xml:space="preserve">nombre</t>
  </si>
  <si>
    <t xml:space="preserve">ubicacion</t>
  </si>
  <si>
    <t xml:space="preserve">tipo</t>
  </si>
  <si>
    <t xml:space="preserve">grupo</t>
  </si>
  <si>
    <t xml:space="preserve">lat</t>
  </si>
  <si>
    <t xml:space="preserve">lon</t>
  </si>
  <si>
    <t xml:space="preserve">px_x</t>
  </si>
  <si>
    <t xml:space="preserve">px_y</t>
  </si>
  <si>
    <t xml:space="preserve">agentes</t>
  </si>
  <si>
    <t xml:space="preserve">patrulleros</t>
  </si>
  <si>
    <t xml:space="preserve">motos</t>
  </si>
  <si>
    <t xml:space="preserve">funcion_agentes</t>
  </si>
  <si>
    <t xml:space="preserve">funcion_motos</t>
  </si>
  <si>
    <t xml:space="preserve">color_hex</t>
  </si>
  <si>
    <t xml:space="preserve">icono</t>
  </si>
  <si>
    <t xml:space="preserve">popup_texto</t>
  </si>
  <si>
    <t xml:space="preserve">PC1</t>
  </si>
  <si>
    <t xml:space="preserve">Punto de control 1</t>
  </si>
  <si>
    <t xml:space="preserve">Nanegalito – Vía E28</t>
  </si>
  <si>
    <t xml:space="preserve">Punto de control</t>
  </si>
  <si>
    <t xml:space="preserve">Control</t>
  </si>
  <si>
    <t xml:space="preserve">Cierre de vía</t>
  </si>
  <si>
    <t xml:space="preserve">#1565C0</t>
  </si>
  <si>
    <t xml:space="preserve">shield</t>
  </si>
  <si>
    <t xml:space="preserve">6 agentes (cierre de vía) · 2 patrulleros</t>
  </si>
  <si>
    <t xml:space="preserve">PC2</t>
  </si>
  <si>
    <t xml:space="preserve">Punto de control 2</t>
  </si>
  <si>
    <t xml:space="preserve">Desvío Km 78 – Entrada a Tulipe / Gualea</t>
  </si>
  <si>
    <t xml:space="preserve">Cierre y control</t>
  </si>
  <si>
    <t xml:space="preserve">Avanzadas y apoyo</t>
  </si>
  <si>
    <t xml:space="preserve">#D32F2F</t>
  </si>
  <si>
    <t xml:space="preserve">4 agentes (cierre y control) · 4 motos (avanzadas y apoyo) · Deslizamiento en Tulipe / Gualea</t>
  </si>
  <si>
    <t xml:space="preserve">PC3</t>
  </si>
  <si>
    <t xml:space="preserve">Punto de control 3</t>
  </si>
  <si>
    <t xml:space="preserve">Eje central Pacto – Mashpi</t>
  </si>
  <si>
    <t xml:space="preserve">#2E7D32</t>
  </si>
  <si>
    <t xml:space="preserve">6 agentes · 2 patrulleros (área urbana y rural) · 4 motos (avanzadas y apoyo)</t>
  </si>
  <si>
    <t xml:space="preserve">F1</t>
  </si>
  <si>
    <t xml:space="preserve">1.er filtro</t>
  </si>
  <si>
    <t xml:space="preserve">Redondel del Condado</t>
  </si>
  <si>
    <t xml:space="preserve">Filtro de desvío</t>
  </si>
  <si>
    <t xml:space="preserve">Desvíos hacia el sur</t>
  </si>
  <si>
    <t xml:space="preserve">Control de flujo</t>
  </si>
  <si>
    <t xml:space="preserve">Motorizado</t>
  </si>
  <si>
    <t xml:space="preserve">#1B5E20</t>
  </si>
  <si>
    <t xml:space="preserve">arrow</t>
  </si>
  <si>
    <t xml:space="preserve">2 agentes · 1 motorizado · Desvío hacia la vía Alóag – Santo Domingo</t>
  </si>
  <si>
    <t xml:space="preserve">F2</t>
  </si>
  <si>
    <t xml:space="preserve">2.º filtro</t>
  </si>
  <si>
    <t xml:space="preserve">Intercambiador del Portal Shopping</t>
  </si>
  <si>
    <t xml:space="preserve">F3</t>
  </si>
  <si>
    <t xml:space="preserve">3.er filtro</t>
  </si>
  <si>
    <t xml:space="preserve">Redondel de San Antonio de Pichincha</t>
  </si>
  <si>
    <t xml:space="preserve">CE1</t>
  </si>
  <si>
    <t xml:space="preserve">Cierre especial</t>
  </si>
  <si>
    <t xml:space="preserve">Vía Cusubamba (Y de Cusubamba)</t>
  </si>
  <si>
    <t xml:space="preserve">Desvío de vehículos pesados</t>
  </si>
  <si>
    <t xml:space="preserve">#EF6C00</t>
  </si>
  <si>
    <t xml:space="preserve">truck</t>
  </si>
  <si>
    <t xml:space="preserve">Desvío de vehículos pesados hacia la vía Alóag – Santo Domingo para evitar congestión en la Panamericana Norte · En coordinación con el Escuadrón de Carretera</t>
  </si>
  <si>
    <t xml:space="preserve">agentes, patrulleros, motos y total_recursos se calculan desde RECURSOS_DETALLE. El cierre especial no indica recursos en la lámina.</t>
  </si>
  <si>
    <t xml:space="preserve">tipo_recurso</t>
  </si>
  <si>
    <t xml:space="preserve">cantidad</t>
  </si>
  <si>
    <t xml:space="preserve">rol</t>
  </si>
  <si>
    <t xml:space="preserve">Agente</t>
  </si>
  <si>
    <t xml:space="preserve">Patrullero</t>
  </si>
  <si>
    <t xml:space="preserve">Moto</t>
  </si>
  <si>
    <t xml:space="preserve">Para avanzadas y apoyo</t>
  </si>
  <si>
    <t xml:space="preserve">Área urbana y rural</t>
  </si>
  <si>
    <t xml:space="preserve">Desvío hacia el sur</t>
  </si>
  <si>
    <t xml:space="preserve">tipo_recurso admite: Agente, Patrullero, Moto. Al agregar filas se actualizan los totales de las demás hojas.</t>
  </si>
  <si>
    <t xml:space="preserve">orden</t>
  </si>
  <si>
    <t xml:space="preserve">accion</t>
  </si>
  <si>
    <t xml:space="preserve">Desvían el transporte pesado hacia la vía Alóag – Santo Domingo.</t>
  </si>
  <si>
    <t xml:space="preserve">Retienen el tráfico liviano en zona segura.</t>
  </si>
  <si>
    <t xml:space="preserve">Controlan el perímetro del deslizamiento.</t>
  </si>
  <si>
    <t xml:space="preserve">Guían a los vehículos de asistencia humanitaria y maquinaria pesada de la Prefectura.</t>
  </si>
  <si>
    <t xml:space="preserve">Desplegados en el área urbana de Pacto y accesos rurales.</t>
  </si>
  <si>
    <t xml:space="preserve">Coordinan el traslado seguro de víveres a los albergues de 25 de Septiembre y La Sexta.</t>
  </si>
  <si>
    <t xml:space="preserve">Controlan el flujo vehicular hacia la vía Alóag – Santo Domingo.</t>
  </si>
  <si>
    <t xml:space="preserve">Desvían los vehículos pesados hacia la vía Alóag – Santo Domingo, para evitar que lleguen a la Panamericana Norte y generen congestión.</t>
  </si>
  <si>
    <t xml:space="preserve">La alerta se gestiona en coordinación con el Escuadrón de Carretera.</t>
  </si>
  <si>
    <t xml:space="preserve">incidente_id</t>
  </si>
  <si>
    <t xml:space="preserve">sector</t>
  </si>
  <si>
    <t xml:space="preserve">punto_relacionado</t>
  </si>
  <si>
    <t xml:space="preserve">estado</t>
  </si>
  <si>
    <t xml:space="preserve">I01</t>
  </si>
  <si>
    <t xml:space="preserve">Deslizamiento</t>
  </si>
  <si>
    <t xml:space="preserve">Sector Tulipe / Gualea</t>
  </si>
  <si>
    <t xml:space="preserve">Activo</t>
  </si>
  <si>
    <t xml:space="preserve">warning</t>
  </si>
  <si>
    <t xml:space="preserve">lugar</t>
  </si>
  <si>
    <t xml:space="preserve">Pacto</t>
  </si>
  <si>
    <t xml:space="preserve">Parroquia</t>
  </si>
  <si>
    <t xml:space="preserve">Mashpi</t>
  </si>
  <si>
    <t xml:space="preserve">Localidad</t>
  </si>
  <si>
    <t xml:space="preserve">Nanegalito</t>
  </si>
  <si>
    <t xml:space="preserve">Tulipe / Gualea</t>
  </si>
  <si>
    <t xml:space="preserve">Sector</t>
  </si>
  <si>
    <t xml:space="preserve">Quito</t>
  </si>
  <si>
    <t xml:space="preserve">Ciudad</t>
  </si>
  <si>
    <t xml:space="preserve">Alóag – Santo Domingo</t>
  </si>
  <si>
    <t xml:space="preserve">Vía de desvío (sur)</t>
  </si>
  <si>
    <t xml:space="preserve">Albergue 25 de Septiembre</t>
  </si>
  <si>
    <t xml:space="preserve">Albergue</t>
  </si>
  <si>
    <t xml:space="preserve">Albergue La Sexta</t>
  </si>
  <si>
    <t xml:space="preserve">Los albergues se mencionan en el texto pero no tienen ubicación en la lámina: completar si se conocen.</t>
  </si>
  <si>
    <t xml:space="preserve">ruta_id</t>
  </si>
  <si>
    <t xml:space="preserve">nombre_ruta</t>
  </si>
  <si>
    <t xml:space="preserve">referencia</t>
  </si>
  <si>
    <t xml:space="preserve">estilo</t>
  </si>
  <si>
    <t xml:space="preserve">E28</t>
  </si>
  <si>
    <t xml:space="preserve">Vía E28 (ruta principal)</t>
  </si>
  <si>
    <t xml:space="preserve">Nanegalito (PC1)</t>
  </si>
  <si>
    <t xml:space="preserve">#F57C00</t>
  </si>
  <si>
    <t xml:space="preserve">continua</t>
  </si>
  <si>
    <t xml:space="preserve">Rótulo E28</t>
  </si>
  <si>
    <t xml:space="preserve">Km 78 Tulipe / Gualea (PC2)</t>
  </si>
  <si>
    <t xml:space="preserve">Pacto (PC3)</t>
  </si>
  <si>
    <t xml:space="preserve">SUR</t>
  </si>
  <si>
    <t xml:space="preserve">Desvíos vía Alóag – Santo Domingo</t>
  </si>
  <si>
    <t xml:space="preserve">3.er filtro San Antonio</t>
  </si>
  <si>
    <t xml:space="preserve">flecha</t>
  </si>
  <si>
    <t xml:space="preserve">2.º filtro Portal Shopping</t>
  </si>
  <si>
    <t xml:space="preserve">1.er filtro Redondel del Condado</t>
  </si>
  <si>
    <t xml:space="preserve">Trazado esquemático sobre la lámina (píxeles). Para un mapa real, usar la geometría de OpenStreetMap.</t>
  </si>
  <si>
    <t xml:space="preserve">panel_id</t>
  </si>
  <si>
    <t xml:space="preserve">x</t>
  </si>
  <si>
    <t xml:space="preserve">y</t>
  </si>
  <si>
    <t xml:space="preserve">ancho</t>
  </si>
  <si>
    <t xml:space="preserve">alto</t>
  </si>
  <si>
    <t xml:space="preserve">puntos_relacionados</t>
  </si>
  <si>
    <t xml:space="preserve">panel_pc1</t>
  </si>
  <si>
    <t xml:space="preserve">Punto de control 1 – Nanegalito, Vía E28</t>
  </si>
  <si>
    <t xml:space="preserve">panel_desvios</t>
  </si>
  <si>
    <t xml:space="preserve">Desvíos hacia el sur (Vía Alóag – Santo Domingo)</t>
  </si>
  <si>
    <t xml:space="preserve">F1,F2,F3</t>
  </si>
  <si>
    <t xml:space="preserve">panel_mision</t>
  </si>
  <si>
    <t xml:space="preserve">Nuestra misión</t>
  </si>
  <si>
    <t xml:space="preserve">panel_resumen</t>
  </si>
  <si>
    <t xml:space="preserve">Resumen de logística y personal</t>
  </si>
  <si>
    <t xml:space="preserve">panel_total</t>
  </si>
  <si>
    <t xml:space="preserve">Total logística y personal</t>
  </si>
  <si>
    <t xml:space="preserve">panel_pc2</t>
  </si>
  <si>
    <t xml:space="preserve">Punto de control 2 – Desvío Km 78, Tulipe / Gualea</t>
  </si>
  <si>
    <t xml:space="preserve">panel_pc3</t>
  </si>
  <si>
    <t xml:space="preserve">Punto de control 3 – Eje central Pacto – Mashpi</t>
  </si>
  <si>
    <t xml:space="preserve">panel_cierre</t>
  </si>
  <si>
    <t xml:space="preserve">Cierre especial – Vía Cusubamba</t>
  </si>
  <si>
    <t xml:space="preserve">panel_simbologia</t>
  </si>
  <si>
    <t xml:space="preserve">Simbología</t>
  </si>
  <si>
    <t xml:space="preserve">RESUMEN DE LOGÍSTICA Y PERSONAL</t>
  </si>
  <si>
    <t xml:space="preserve">indicador</t>
  </si>
  <si>
    <t xml:space="preserve">valor_calculado</t>
  </si>
  <si>
    <t xml:space="preserve">valor_en_lamina</t>
  </si>
  <si>
    <t xml:space="preserve">verificacion</t>
  </si>
  <si>
    <t xml:space="preserve">Agentes en puntos de control</t>
  </si>
  <si>
    <t xml:space="preserve">Agentes en desvíos</t>
  </si>
  <si>
    <t xml:space="preserve">Agentes – total</t>
  </si>
  <si>
    <t xml:space="preserve">Patrulleros (punto 1 + punto 3)</t>
  </si>
  <si>
    <t xml:space="preserve">Motorizados en puntos de control</t>
  </si>
  <si>
    <t xml:space="preserve">Motorizados en desvíos</t>
  </si>
  <si>
    <t xml:space="preserve">Motorizados – total</t>
  </si>
  <si>
    <t xml:space="preserve">TOTAL LOGÍSTICA Y PERSONAL</t>
  </si>
  <si>
    <t xml:space="preserve">capa</t>
  </si>
  <si>
    <t xml:space="preserve">descripcion</t>
  </si>
  <si>
    <t xml:space="preserve">geometria</t>
  </si>
  <si>
    <t xml:space="preserve">via_e28</t>
  </si>
  <si>
    <t xml:space="preserve">Vía E28</t>
  </si>
  <si>
    <t xml:space="preserve">Línea</t>
  </si>
  <si>
    <t xml:space="preserve">Continua</t>
  </si>
  <si>
    <t xml:space="preserve">ruta_principal</t>
  </si>
  <si>
    <t xml:space="preserve">Ruta principal</t>
  </si>
  <si>
    <t xml:space="preserve">#FBC02D</t>
  </si>
  <si>
    <t xml:space="preserve">desvio_sur</t>
  </si>
  <si>
    <t xml:space="preserve">Flecha</t>
  </si>
  <si>
    <t xml:space="preserve">desvio_cusubamba</t>
  </si>
  <si>
    <t xml:space="preserve">Desvío a Cusubamba (vehículos pesados)</t>
  </si>
  <si>
    <t xml:space="preserve">#7B1FA2</t>
  </si>
  <si>
    <t xml:space="preserve">limite_amt</t>
  </si>
  <si>
    <t xml:space="preserve">Límite de jurisdicción AMT</t>
  </si>
  <si>
    <t xml:space="preserve">Polígono</t>
  </si>
  <si>
    <t xml:space="preserve">#FFFFFF</t>
  </si>
  <si>
    <t xml:space="preserve">Borde punteado</t>
  </si>
  <si>
    <t xml:space="preserve">deslizamiento</t>
  </si>
  <si>
    <t xml:space="preserve">Punto</t>
  </si>
  <si>
    <t xml:space="preserve">Triángulo de alerta</t>
  </si>
  <si>
    <t xml:space="preserve">prohibido_pesados</t>
  </si>
  <si>
    <t xml:space="preserve">Desvío para pesados (Y de Cusubamba)</t>
  </si>
  <si>
    <t xml:space="preserve">Señal de prohibido</t>
  </si>
  <si>
    <t xml:space="preserve">desvio_pesados</t>
  </si>
  <si>
    <t xml:space="preserve">Ícono de camión</t>
  </si>
  <si>
    <t xml:space="preserve">n</t>
  </si>
  <si>
    <t xml:space="preserve">tema</t>
  </si>
  <si>
    <t xml:space="preserve">observacion</t>
  </si>
  <si>
    <t xml:space="preserve">Mapa</t>
  </si>
  <si>
    <t xml:space="preserve">El recuadro del punto 3 en el mapa dice «Punto de control 2 Pacto – Mashpi»; el panel lateral lo identifica como Punto de control 3. Se usó PC3.</t>
  </si>
  <si>
    <t xml:space="preserve">Desvíos</t>
  </si>
  <si>
    <t xml:space="preserve">Los círculos de los filtros en el mapa muestran 3, 2, 2; los rótulos dicen 3.er, 2.º y 1.er filtro. Se usó el orden de los rótulos.</t>
  </si>
  <si>
    <t xml:space="preserve">Texto</t>
  </si>
  <si>
    <t xml:space="preserve">«tráfico fulono» se interpretó como «tráfico liviano»; «prolectura» como «Prefectura».</t>
  </si>
  <si>
    <t xml:space="preserve">Cusubamba</t>
  </si>
  <si>
    <t xml:space="preserve">El rótulo «Desvío adicional (Y de Cusubamba) para vehículos pesados» está borroso en la lámina. Su ubicación geográfica no está verificada.</t>
  </si>
  <si>
    <t xml:space="preserve">Albergues</t>
  </si>
  <si>
    <t xml:space="preserve">Los albergues 25 de Septiembre y La Sexta se mencionan sin ubicación en el mapa.</t>
  </si>
  <si>
    <t xml:space="preserve">Totales</t>
  </si>
  <si>
    <t xml:space="preserve">Los totales de la lámina (22 agentes, 4 patrulleros, 11 motorizados, 37 recursos) coinciden con la suma por punto.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</si>
</sst>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0"/>
    <numFmt numFmtId="166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D3B7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0"/>
      <name val="Arial"/>
      <family val="2"/>
    </font>
    <font>
      <sz val="11"/>
      <color rgb="FF00000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3"/>
      <color rgb="FF0D3B7A"/>
      <name val="Arial"/>
      <family val="0"/>
      <charset val="1"/>
    </font>
    <font>
      <sz val="11"/>
      <color rgb="FFFFFFFF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0D3B7A"/>
        <bgColor rgb="FF333399"/>
      </patternFill>
    </fill>
    <fill>
      <patternFill patternType="solid">
        <fgColor rgb="FFF57C00"/>
        <bgColor rgb="FFEF6C00"/>
      </patternFill>
    </fill>
    <fill>
      <patternFill patternType="solid">
        <fgColor rgb="FFFBC02D"/>
        <bgColor rgb="FFFFCC99"/>
      </patternFill>
    </fill>
    <fill>
      <patternFill patternType="solid">
        <fgColor rgb="FF1565C0"/>
        <bgColor rgb="FF3366FF"/>
      </patternFill>
    </fill>
    <fill>
      <patternFill patternType="solid">
        <fgColor rgb="FF7B1FA2"/>
        <bgColor rgb="FF800080"/>
      </patternFill>
    </fill>
    <fill>
      <patternFill patternType="solid">
        <fgColor rgb="FFFFFFFF"/>
        <bgColor rgb="FFFFFFCC"/>
      </patternFill>
    </fill>
    <fill>
      <patternFill patternType="solid">
        <fgColor rgb="FFD32F2F"/>
        <bgColor rgb="FF993366"/>
      </patternFill>
    </fill>
    <fill>
      <patternFill patternType="solid">
        <fgColor rgb="FFEF6C00"/>
        <bgColor rgb="FFF57C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AA5B1"/>
      </left>
      <right style="thin">
        <color rgb="FF9AA5B1"/>
      </right>
      <top style="thin">
        <color rgb="FF9AA5B1"/>
      </top>
      <bottom style="thin">
        <color rgb="FF9AA5B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0D3B7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565C0"/>
          <bgColor rgb="FF000000"/>
        </patternFill>
      </fill>
    </dxf>
    <dxf>
      <fill>
        <patternFill patternType="solid">
          <fgColor rgb="FF7B1FA2"/>
          <bgColor rgb="FF000000"/>
        </patternFill>
      </fill>
    </dxf>
    <dxf>
      <fill>
        <patternFill patternType="solid">
          <fgColor rgb="FFD32F2F"/>
          <bgColor rgb="FF000000"/>
        </patternFill>
      </fill>
    </dxf>
    <dxf>
      <fill>
        <patternFill patternType="solid">
          <fgColor rgb="FFEF6C00"/>
          <bgColor rgb="FF000000"/>
        </patternFill>
      </fill>
    </dxf>
    <dxf>
      <fill>
        <patternFill patternType="solid">
          <fgColor rgb="FFF57C00"/>
          <bgColor rgb="FF000000"/>
        </patternFill>
      </fill>
    </dxf>
    <dxf>
      <fill>
        <patternFill patternType="solid">
          <fgColor rgb="FFFBC02D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7B1FA2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1565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BC02D"/>
      <rgbColor rgb="FFF57C00"/>
      <rgbColor rgb="FFEF6C00"/>
      <rgbColor rgb="FF666699"/>
      <rgbColor rgb="FF9AA5B1"/>
      <rgbColor rgb="FF0D3B7A"/>
      <rgbColor rgb="FF339966"/>
      <rgbColor rgb="FF003300"/>
      <rgbColor rgb="FF333300"/>
      <rgbColor rgb="FFD32F2F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4" t="s">
        <v>3</v>
      </c>
      <c r="B4" s="5" t="s">
        <v>4</v>
      </c>
    </row>
    <row r="5" customFormat="false" ht="26.85" hidden="false" customHeight="false" outlineLevel="0" collapsed="false">
      <c r="A5" s="4" t="s">
        <v>5</v>
      </c>
      <c r="B5" s="5" t="s">
        <v>6</v>
      </c>
    </row>
    <row r="6" customFormat="false" ht="26.85" hidden="false" customHeight="false" outlineLevel="0" collapsed="false">
      <c r="A6" s="4" t="s">
        <v>7</v>
      </c>
      <c r="B6" s="5" t="s">
        <v>8</v>
      </c>
    </row>
    <row r="7" customFormat="false" ht="15" hidden="false" customHeight="false" outlineLevel="0" collapsed="false">
      <c r="A7" s="4" t="s">
        <v>9</v>
      </c>
      <c r="B7" s="5" t="s">
        <v>10</v>
      </c>
    </row>
    <row r="8" customFormat="false" ht="15" hidden="false" customHeight="false" outlineLevel="0" collapsed="false">
      <c r="A8" s="4" t="s">
        <v>11</v>
      </c>
      <c r="B8" s="5" t="s">
        <v>12</v>
      </c>
    </row>
    <row r="9" customFormat="false" ht="15" hidden="false" customHeight="false" outlineLevel="0" collapsed="false">
      <c r="A9" s="4" t="s">
        <v>13</v>
      </c>
      <c r="B9" s="5" t="s">
        <v>14</v>
      </c>
    </row>
    <row r="10" customFormat="false" ht="26.85" hidden="false" customHeight="false" outlineLevel="0" collapsed="false">
      <c r="A10" s="4" t="s">
        <v>15</v>
      </c>
      <c r="B10" s="5" t="s">
        <v>16</v>
      </c>
    </row>
    <row r="11" customFormat="false" ht="15" hidden="false" customHeight="false" outlineLevel="0" collapsed="false">
      <c r="A11" s="4" t="s">
        <v>17</v>
      </c>
      <c r="B11" s="5" t="s">
        <v>18</v>
      </c>
    </row>
    <row r="12" customFormat="false" ht="15" hidden="false" customHeight="false" outlineLevel="0" collapsed="false">
      <c r="A12" s="4" t="s">
        <v>19</v>
      </c>
      <c r="B12" s="5" t="s">
        <v>20</v>
      </c>
    </row>
    <row r="13" customFormat="false" ht="15" hidden="false" customHeight="false" outlineLevel="0" collapsed="false">
      <c r="A13" s="4" t="s">
        <v>21</v>
      </c>
      <c r="B13" s="5" t="s">
        <v>22</v>
      </c>
    </row>
    <row r="14" customFormat="false" ht="15" hidden="false" customHeight="false" outlineLevel="0" collapsed="false">
      <c r="A14" s="4" t="s">
        <v>23</v>
      </c>
      <c r="B14" s="5" t="s">
        <v>24</v>
      </c>
    </row>
    <row r="15" customFormat="false" ht="15" hidden="false" customHeight="false" outlineLevel="0" collapsed="false">
      <c r="A15" s="4"/>
      <c r="B15" s="5"/>
    </row>
    <row r="16" customFormat="false" ht="26.85" hidden="false" customHeight="false" outlineLevel="0" collapsed="false">
      <c r="A16" s="6" t="s">
        <v>25</v>
      </c>
      <c r="B16" s="5" t="s">
        <v>26</v>
      </c>
    </row>
    <row r="17" customFormat="false" ht="26.85" hidden="false" customHeight="false" outlineLevel="0" collapsed="false">
      <c r="A17" s="6" t="s">
        <v>27</v>
      </c>
      <c r="B17" s="5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0"/>
  </cols>
  <sheetData>
    <row r="1" customFormat="false" ht="31.5" hidden="false" customHeight="true" outlineLevel="0" collapsed="false">
      <c r="A1" s="7" t="s">
        <v>29</v>
      </c>
      <c r="B1" s="7" t="s">
        <v>30</v>
      </c>
    </row>
    <row r="2" customFormat="false" ht="15" hidden="false" customHeight="false" outlineLevel="0" collapsed="false">
      <c r="A2" s="8" t="s">
        <v>31</v>
      </c>
      <c r="B2" s="8" t="s">
        <v>32</v>
      </c>
    </row>
    <row r="3" customFormat="false" ht="15" hidden="false" customHeight="false" outlineLevel="0" collapsed="false">
      <c r="A3" s="8" t="s">
        <v>33</v>
      </c>
      <c r="B3" s="8" t="s">
        <v>34</v>
      </c>
    </row>
    <row r="4" customFormat="false" ht="15" hidden="false" customHeight="false" outlineLevel="0" collapsed="false">
      <c r="A4" s="8" t="s">
        <v>35</v>
      </c>
      <c r="B4" s="8" t="s">
        <v>36</v>
      </c>
    </row>
    <row r="5" customFormat="false" ht="15" hidden="false" customHeight="false" outlineLevel="0" collapsed="false">
      <c r="A5" s="8" t="s">
        <v>37</v>
      </c>
      <c r="B5" s="8" t="s">
        <v>38</v>
      </c>
    </row>
    <row r="6" customFormat="false" ht="15" hidden="false" customHeight="false" outlineLevel="0" collapsed="false">
      <c r="A6" s="8" t="s">
        <v>39</v>
      </c>
      <c r="B6" s="8" t="s">
        <v>40</v>
      </c>
    </row>
    <row r="7" customFormat="false" ht="26.85" hidden="false" customHeight="false" outlineLevel="0" collapsed="false">
      <c r="A7" s="8" t="s">
        <v>41</v>
      </c>
      <c r="B7" s="8" t="s">
        <v>42</v>
      </c>
    </row>
    <row r="8" customFormat="false" ht="15" hidden="false" customHeight="false" outlineLevel="0" collapsed="false">
      <c r="A8" s="8" t="s">
        <v>43</v>
      </c>
      <c r="B8" s="8" t="s">
        <v>44</v>
      </c>
    </row>
    <row r="9" customFormat="false" ht="15" hidden="false" customHeight="false" outlineLevel="0" collapsed="false">
      <c r="A9" s="8" t="s">
        <v>45</v>
      </c>
      <c r="B9" s="8" t="n">
        <v>37</v>
      </c>
    </row>
    <row r="10" customFormat="false" ht="15" hidden="false" customHeight="false" outlineLevel="0" collapsed="false">
      <c r="A10" s="8" t="s">
        <v>46</v>
      </c>
      <c r="B10" s="8" t="n">
        <v>1264</v>
      </c>
    </row>
    <row r="11" customFormat="false" ht="15" hidden="false" customHeight="false" outlineLevel="0" collapsed="false">
      <c r="A11" s="8" t="s">
        <v>47</v>
      </c>
      <c r="B11" s="8" t="n">
        <v>841</v>
      </c>
    </row>
    <row r="12" customFormat="false" ht="15" hidden="false" customHeight="false" outlineLevel="0" collapsed="false">
      <c r="A12" s="8" t="s">
        <v>48</v>
      </c>
      <c r="B12" s="8" t="n">
        <v>0.02</v>
      </c>
    </row>
    <row r="13" customFormat="false" ht="15" hidden="false" customHeight="false" outlineLevel="0" collapsed="false">
      <c r="A13" s="8" t="s">
        <v>49</v>
      </c>
      <c r="B13" s="8" t="n">
        <v>-78.62</v>
      </c>
    </row>
    <row r="14" customFormat="false" ht="15" hidden="false" customHeight="false" outlineLevel="0" collapsed="false">
      <c r="A14" s="8" t="s">
        <v>50</v>
      </c>
      <c r="B14" s="8" t="n">
        <v>10</v>
      </c>
    </row>
  </sheetData>
  <autoFilter ref="A1:B1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8"/>
    <col collapsed="false" customWidth="true" hidden="false" outlineLevel="0" max="3" min="3" style="0" width="18"/>
    <col collapsed="false" customWidth="true" hidden="false" outlineLevel="0" max="4" min="4" style="0" width="34"/>
    <col collapsed="false" customWidth="true" hidden="false" outlineLevel="0" max="5" min="5" style="0" width="22"/>
    <col collapsed="false" customWidth="true" hidden="false" outlineLevel="0" max="6" min="6" style="0" width="18"/>
    <col collapsed="false" customWidth="true" hidden="false" outlineLevel="0" max="8" min="7" style="0" width="10"/>
    <col collapsed="false" customWidth="true" hidden="false" outlineLevel="0" max="10" min="9" style="0" width="8"/>
    <col collapsed="false" customWidth="true" hidden="false" outlineLevel="0" max="11" min="11" style="0" width="9"/>
    <col collapsed="false" customWidth="true" hidden="false" outlineLevel="0" max="12" min="12" style="0" width="11"/>
    <col collapsed="false" customWidth="true" hidden="false" outlineLevel="0" max="13" min="13" style="0" width="8"/>
    <col collapsed="false" customWidth="true" hidden="false" outlineLevel="0" max="14" min="14" style="0" width="13"/>
    <col collapsed="false" customWidth="true" hidden="false" outlineLevel="0" max="16" min="15" style="0" width="18"/>
    <col collapsed="false" customWidth="true" hidden="false" outlineLevel="0" max="17" min="17" style="0" width="11"/>
    <col collapsed="false" customWidth="true" hidden="false" outlineLevel="0" max="18" min="18" style="0" width="9"/>
    <col collapsed="false" customWidth="true" hidden="false" outlineLevel="0" max="19" min="19" style="0" width="70"/>
  </cols>
  <sheetData>
    <row r="1" customFormat="false" ht="31.5" hidden="false" customHeight="true" outlineLevel="0" collapsed="false">
      <c r="A1" s="7" t="s">
        <v>51</v>
      </c>
      <c r="B1" s="7" t="s">
        <v>52</v>
      </c>
      <c r="C1" s="7" t="s">
        <v>53</v>
      </c>
      <c r="D1" s="7" t="s">
        <v>54</v>
      </c>
      <c r="E1" s="7" t="s">
        <v>55</v>
      </c>
      <c r="F1" s="7" t="s">
        <v>56</v>
      </c>
      <c r="G1" s="7" t="s">
        <v>57</v>
      </c>
      <c r="H1" s="7" t="s">
        <v>58</v>
      </c>
      <c r="I1" s="7" t="s">
        <v>59</v>
      </c>
      <c r="J1" s="7" t="s">
        <v>60</v>
      </c>
      <c r="K1" s="7" t="s">
        <v>61</v>
      </c>
      <c r="L1" s="7" t="s">
        <v>62</v>
      </c>
      <c r="M1" s="7" t="s">
        <v>63</v>
      </c>
      <c r="N1" s="7" t="s">
        <v>45</v>
      </c>
      <c r="O1" s="7" t="s">
        <v>64</v>
      </c>
      <c r="P1" s="7" t="s">
        <v>65</v>
      </c>
      <c r="Q1" s="7" t="s">
        <v>66</v>
      </c>
      <c r="R1" s="7" t="s">
        <v>67</v>
      </c>
      <c r="S1" s="7" t="s">
        <v>68</v>
      </c>
    </row>
    <row r="2" customFormat="false" ht="15" hidden="false" customHeight="false" outlineLevel="0" collapsed="false">
      <c r="A2" s="8" t="s">
        <v>69</v>
      </c>
      <c r="B2" s="8" t="n">
        <v>1</v>
      </c>
      <c r="C2" s="8" t="s">
        <v>70</v>
      </c>
      <c r="D2" s="8" t="s">
        <v>71</v>
      </c>
      <c r="E2" s="8" t="s">
        <v>72</v>
      </c>
      <c r="F2" s="8" t="s">
        <v>73</v>
      </c>
      <c r="G2" s="9" t="n">
        <v>0.0675</v>
      </c>
      <c r="H2" s="9" t="n">
        <v>-78.679</v>
      </c>
      <c r="I2" s="8" t="n">
        <v>550</v>
      </c>
      <c r="J2" s="8" t="n">
        <v>262</v>
      </c>
      <c r="K2" s="10" t="n">
        <f aca="false">SUMIFS(RECURSOS_DETALLE!$C:$C,RECURSOS_DETALLE!$A:$A,$A2,RECURSOS_DETALLE!$B:$B,"Agente")</f>
        <v>6</v>
      </c>
      <c r="L2" s="10" t="n">
        <f aca="false">SUMIFS(RECURSOS_DETALLE!$C:$C,RECURSOS_DETALLE!$A:$A,$A2,RECURSOS_DETALLE!$B:$B,"Patrullero")</f>
        <v>2</v>
      </c>
      <c r="M2" s="10" t="n">
        <f aca="false">SUMIFS(RECURSOS_DETALLE!$C:$C,RECURSOS_DETALLE!$A:$A,$A2,RECURSOS_DETALLE!$B:$B,"Moto")</f>
        <v>0</v>
      </c>
      <c r="N2" s="10" t="n">
        <f aca="false">SUM(K2:M2)</f>
        <v>8</v>
      </c>
      <c r="O2" s="8" t="s">
        <v>74</v>
      </c>
      <c r="P2" s="8"/>
      <c r="Q2" s="8" t="s">
        <v>75</v>
      </c>
      <c r="R2" s="8" t="s">
        <v>76</v>
      </c>
      <c r="S2" s="8" t="s">
        <v>77</v>
      </c>
    </row>
    <row r="3" customFormat="false" ht="26.85" hidden="false" customHeight="false" outlineLevel="0" collapsed="false">
      <c r="A3" s="8" t="s">
        <v>78</v>
      </c>
      <c r="B3" s="8" t="n">
        <v>2</v>
      </c>
      <c r="C3" s="8" t="s">
        <v>79</v>
      </c>
      <c r="D3" s="8" t="s">
        <v>80</v>
      </c>
      <c r="E3" s="8" t="s">
        <v>72</v>
      </c>
      <c r="F3" s="8" t="s">
        <v>73</v>
      </c>
      <c r="G3" s="9" t="n">
        <v>0.085</v>
      </c>
      <c r="H3" s="9" t="n">
        <v>-78.715</v>
      </c>
      <c r="I3" s="8" t="n">
        <v>500</v>
      </c>
      <c r="J3" s="8" t="n">
        <v>365</v>
      </c>
      <c r="K3" s="10" t="n">
        <f aca="false">SUMIFS(RECURSOS_DETALLE!$C:$C,RECURSOS_DETALLE!$A:$A,$A3,RECURSOS_DETALLE!$B:$B,"Agente")</f>
        <v>4</v>
      </c>
      <c r="L3" s="10" t="n">
        <f aca="false">SUMIFS(RECURSOS_DETALLE!$C:$C,RECURSOS_DETALLE!$A:$A,$A3,RECURSOS_DETALLE!$B:$B,"Patrullero")</f>
        <v>0</v>
      </c>
      <c r="M3" s="10" t="n">
        <f aca="false">SUMIFS(RECURSOS_DETALLE!$C:$C,RECURSOS_DETALLE!$A:$A,$A3,RECURSOS_DETALLE!$B:$B,"Moto")</f>
        <v>4</v>
      </c>
      <c r="N3" s="10" t="n">
        <f aca="false">SUM(K3:M3)</f>
        <v>8</v>
      </c>
      <c r="O3" s="8" t="s">
        <v>81</v>
      </c>
      <c r="P3" s="8" t="s">
        <v>82</v>
      </c>
      <c r="Q3" s="8" t="s">
        <v>83</v>
      </c>
      <c r="R3" s="8" t="s">
        <v>76</v>
      </c>
      <c r="S3" s="8" t="s">
        <v>84</v>
      </c>
    </row>
    <row r="4" customFormat="false" ht="26.85" hidden="false" customHeight="false" outlineLevel="0" collapsed="false">
      <c r="A4" s="8" t="s">
        <v>85</v>
      </c>
      <c r="B4" s="8" t="n">
        <v>3</v>
      </c>
      <c r="C4" s="8" t="s">
        <v>86</v>
      </c>
      <c r="D4" s="8" t="s">
        <v>87</v>
      </c>
      <c r="E4" s="8" t="s">
        <v>72</v>
      </c>
      <c r="F4" s="8" t="s">
        <v>73</v>
      </c>
      <c r="G4" s="9" t="n">
        <v>0.161</v>
      </c>
      <c r="H4" s="9" t="n">
        <v>-78.786</v>
      </c>
      <c r="I4" s="8" t="n">
        <v>611</v>
      </c>
      <c r="J4" s="8" t="n">
        <v>152</v>
      </c>
      <c r="K4" s="10" t="n">
        <f aca="false">SUMIFS(RECURSOS_DETALLE!$C:$C,RECURSOS_DETALLE!$A:$A,$A4,RECURSOS_DETALLE!$B:$B,"Agente")</f>
        <v>6</v>
      </c>
      <c r="L4" s="10" t="n">
        <f aca="false">SUMIFS(RECURSOS_DETALLE!$C:$C,RECURSOS_DETALLE!$A:$A,$A4,RECURSOS_DETALLE!$B:$B,"Patrullero")</f>
        <v>2</v>
      </c>
      <c r="M4" s="10" t="n">
        <f aca="false">SUMIFS(RECURSOS_DETALLE!$C:$C,RECURSOS_DETALLE!$A:$A,$A4,RECURSOS_DETALLE!$B:$B,"Moto")</f>
        <v>4</v>
      </c>
      <c r="N4" s="10" t="n">
        <f aca="false">SUM(K4:M4)</f>
        <v>12</v>
      </c>
      <c r="O4" s="8" t="s">
        <v>73</v>
      </c>
      <c r="P4" s="8" t="s">
        <v>82</v>
      </c>
      <c r="Q4" s="8" t="s">
        <v>88</v>
      </c>
      <c r="R4" s="8" t="s">
        <v>76</v>
      </c>
      <c r="S4" s="8" t="s">
        <v>89</v>
      </c>
    </row>
    <row r="5" customFormat="false" ht="26.85" hidden="false" customHeight="false" outlineLevel="0" collapsed="false">
      <c r="A5" s="8" t="s">
        <v>90</v>
      </c>
      <c r="B5" s="8" t="n">
        <v>1</v>
      </c>
      <c r="C5" s="8" t="s">
        <v>91</v>
      </c>
      <c r="D5" s="8" t="s">
        <v>92</v>
      </c>
      <c r="E5" s="8" t="s">
        <v>93</v>
      </c>
      <c r="F5" s="8" t="s">
        <v>94</v>
      </c>
      <c r="G5" s="9" t="n">
        <v>-0.101</v>
      </c>
      <c r="H5" s="9" t="n">
        <v>-78.499</v>
      </c>
      <c r="I5" s="8" t="n">
        <v>573</v>
      </c>
      <c r="J5" s="8" t="n">
        <v>541</v>
      </c>
      <c r="K5" s="10" t="n">
        <f aca="false">SUMIFS(RECURSOS_DETALLE!$C:$C,RECURSOS_DETALLE!$A:$A,$A5,RECURSOS_DETALLE!$B:$B,"Agente")</f>
        <v>2</v>
      </c>
      <c r="L5" s="10" t="n">
        <f aca="false">SUMIFS(RECURSOS_DETALLE!$C:$C,RECURSOS_DETALLE!$A:$A,$A5,RECURSOS_DETALLE!$B:$B,"Patrullero")</f>
        <v>0</v>
      </c>
      <c r="M5" s="10" t="n">
        <f aca="false">SUMIFS(RECURSOS_DETALLE!$C:$C,RECURSOS_DETALLE!$A:$A,$A5,RECURSOS_DETALLE!$B:$B,"Moto")</f>
        <v>1</v>
      </c>
      <c r="N5" s="10" t="n">
        <f aca="false">SUM(K5:M5)</f>
        <v>3</v>
      </c>
      <c r="O5" s="8" t="s">
        <v>95</v>
      </c>
      <c r="P5" s="8" t="s">
        <v>96</v>
      </c>
      <c r="Q5" s="8" t="s">
        <v>97</v>
      </c>
      <c r="R5" s="8" t="s">
        <v>98</v>
      </c>
      <c r="S5" s="8" t="s">
        <v>99</v>
      </c>
    </row>
    <row r="6" customFormat="false" ht="26.85" hidden="false" customHeight="false" outlineLevel="0" collapsed="false">
      <c r="A6" s="8" t="s">
        <v>100</v>
      </c>
      <c r="B6" s="8" t="n">
        <v>2</v>
      </c>
      <c r="C6" s="8" t="s">
        <v>101</v>
      </c>
      <c r="D6" s="8" t="s">
        <v>102</v>
      </c>
      <c r="E6" s="8" t="s">
        <v>93</v>
      </c>
      <c r="F6" s="8" t="s">
        <v>94</v>
      </c>
      <c r="G6" s="9" t="n">
        <v>-0.088</v>
      </c>
      <c r="H6" s="9" t="n">
        <v>-78.479</v>
      </c>
      <c r="I6" s="8" t="n">
        <v>568</v>
      </c>
      <c r="J6" s="8" t="n">
        <v>488</v>
      </c>
      <c r="K6" s="10" t="n">
        <f aca="false">SUMIFS(RECURSOS_DETALLE!$C:$C,RECURSOS_DETALLE!$A:$A,$A6,RECURSOS_DETALLE!$B:$B,"Agente")</f>
        <v>2</v>
      </c>
      <c r="L6" s="10" t="n">
        <f aca="false">SUMIFS(RECURSOS_DETALLE!$C:$C,RECURSOS_DETALLE!$A:$A,$A6,RECURSOS_DETALLE!$B:$B,"Patrullero")</f>
        <v>0</v>
      </c>
      <c r="M6" s="10" t="n">
        <f aca="false">SUMIFS(RECURSOS_DETALLE!$C:$C,RECURSOS_DETALLE!$A:$A,$A6,RECURSOS_DETALLE!$B:$B,"Moto")</f>
        <v>1</v>
      </c>
      <c r="N6" s="10" t="n">
        <f aca="false">SUM(K6:M6)</f>
        <v>3</v>
      </c>
      <c r="O6" s="8" t="s">
        <v>95</v>
      </c>
      <c r="P6" s="8" t="s">
        <v>96</v>
      </c>
      <c r="Q6" s="8" t="s">
        <v>97</v>
      </c>
      <c r="R6" s="8" t="s">
        <v>98</v>
      </c>
      <c r="S6" s="8" t="s">
        <v>99</v>
      </c>
    </row>
    <row r="7" customFormat="false" ht="26.85" hidden="false" customHeight="false" outlineLevel="0" collapsed="false">
      <c r="A7" s="8" t="s">
        <v>103</v>
      </c>
      <c r="B7" s="8" t="n">
        <v>3</v>
      </c>
      <c r="C7" s="8" t="s">
        <v>104</v>
      </c>
      <c r="D7" s="8" t="s">
        <v>105</v>
      </c>
      <c r="E7" s="8" t="s">
        <v>93</v>
      </c>
      <c r="F7" s="8" t="s">
        <v>94</v>
      </c>
      <c r="G7" s="9" t="n">
        <v>-0.009</v>
      </c>
      <c r="H7" s="9" t="n">
        <v>-78.445</v>
      </c>
      <c r="I7" s="8" t="n">
        <v>540</v>
      </c>
      <c r="J7" s="8" t="n">
        <v>434</v>
      </c>
      <c r="K7" s="10" t="n">
        <f aca="false">SUMIFS(RECURSOS_DETALLE!$C:$C,RECURSOS_DETALLE!$A:$A,$A7,RECURSOS_DETALLE!$B:$B,"Agente")</f>
        <v>2</v>
      </c>
      <c r="L7" s="10" t="n">
        <f aca="false">SUMIFS(RECURSOS_DETALLE!$C:$C,RECURSOS_DETALLE!$A:$A,$A7,RECURSOS_DETALLE!$B:$B,"Patrullero")</f>
        <v>0</v>
      </c>
      <c r="M7" s="10" t="n">
        <f aca="false">SUMIFS(RECURSOS_DETALLE!$C:$C,RECURSOS_DETALLE!$A:$A,$A7,RECURSOS_DETALLE!$B:$B,"Moto")</f>
        <v>1</v>
      </c>
      <c r="N7" s="10" t="n">
        <f aca="false">SUM(K7:M7)</f>
        <v>3</v>
      </c>
      <c r="O7" s="8" t="s">
        <v>95</v>
      </c>
      <c r="P7" s="8" t="s">
        <v>96</v>
      </c>
      <c r="Q7" s="8" t="s">
        <v>97</v>
      </c>
      <c r="R7" s="8" t="s">
        <v>98</v>
      </c>
      <c r="S7" s="8" t="s">
        <v>99</v>
      </c>
    </row>
    <row r="8" customFormat="false" ht="39.55" hidden="false" customHeight="false" outlineLevel="0" collapsed="false">
      <c r="A8" s="8" t="s">
        <v>106</v>
      </c>
      <c r="B8" s="8"/>
      <c r="C8" s="8" t="s">
        <v>107</v>
      </c>
      <c r="D8" s="8" t="s">
        <v>108</v>
      </c>
      <c r="E8" s="8" t="s">
        <v>109</v>
      </c>
      <c r="F8" s="8" t="s">
        <v>107</v>
      </c>
      <c r="G8" s="9" t="n">
        <v>-0.005</v>
      </c>
      <c r="H8" s="9" t="n">
        <v>-78.52</v>
      </c>
      <c r="I8" s="8" t="n">
        <v>755</v>
      </c>
      <c r="J8" s="8" t="n">
        <v>445</v>
      </c>
      <c r="K8" s="10" t="n">
        <f aca="false">SUMIFS(RECURSOS_DETALLE!$C:$C,RECURSOS_DETALLE!$A:$A,$A8,RECURSOS_DETALLE!$B:$B,"Agente")</f>
        <v>0</v>
      </c>
      <c r="L8" s="10" t="n">
        <f aca="false">SUMIFS(RECURSOS_DETALLE!$C:$C,RECURSOS_DETALLE!$A:$A,$A8,RECURSOS_DETALLE!$B:$B,"Patrullero")</f>
        <v>0</v>
      </c>
      <c r="M8" s="10" t="n">
        <f aca="false">SUMIFS(RECURSOS_DETALLE!$C:$C,RECURSOS_DETALLE!$A:$A,$A8,RECURSOS_DETALLE!$B:$B,"Moto")</f>
        <v>0</v>
      </c>
      <c r="N8" s="10" t="n">
        <f aca="false">SUM(K8:M8)</f>
        <v>0</v>
      </c>
      <c r="O8" s="8"/>
      <c r="P8" s="8"/>
      <c r="Q8" s="8" t="s">
        <v>110</v>
      </c>
      <c r="R8" s="8" t="s">
        <v>111</v>
      </c>
      <c r="S8" s="8" t="s">
        <v>112</v>
      </c>
    </row>
    <row r="10" customFormat="false" ht="15" hidden="false" customHeight="false" outlineLevel="0" collapsed="false">
      <c r="A10" s="11" t="s">
        <v>113</v>
      </c>
    </row>
  </sheetData>
  <autoFilter ref="A1:S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11"/>
    <col collapsed="false" customWidth="true" hidden="false" outlineLevel="0" max="4" min="4" style="0" width="30"/>
  </cols>
  <sheetData>
    <row r="1" customFormat="false" ht="31.5" hidden="false" customHeight="true" outlineLevel="0" collapsed="false">
      <c r="A1" s="7" t="s">
        <v>51</v>
      </c>
      <c r="B1" s="7" t="s">
        <v>114</v>
      </c>
      <c r="C1" s="7" t="s">
        <v>115</v>
      </c>
      <c r="D1" s="7" t="s">
        <v>116</v>
      </c>
    </row>
    <row r="2" customFormat="false" ht="15" hidden="false" customHeight="false" outlineLevel="0" collapsed="false">
      <c r="A2" s="8" t="s">
        <v>69</v>
      </c>
      <c r="B2" s="8" t="s">
        <v>117</v>
      </c>
      <c r="C2" s="8" t="n">
        <v>6</v>
      </c>
      <c r="D2" s="8" t="s">
        <v>74</v>
      </c>
    </row>
    <row r="3" customFormat="false" ht="15" hidden="false" customHeight="false" outlineLevel="0" collapsed="false">
      <c r="A3" s="8" t="s">
        <v>69</v>
      </c>
      <c r="B3" s="8" t="s">
        <v>118</v>
      </c>
      <c r="C3" s="8" t="n">
        <v>2</v>
      </c>
      <c r="D3" s="8"/>
    </row>
    <row r="4" customFormat="false" ht="15" hidden="false" customHeight="false" outlineLevel="0" collapsed="false">
      <c r="A4" s="8" t="s">
        <v>78</v>
      </c>
      <c r="B4" s="8" t="s">
        <v>117</v>
      </c>
      <c r="C4" s="8" t="n">
        <v>4</v>
      </c>
      <c r="D4" s="8" t="s">
        <v>81</v>
      </c>
    </row>
    <row r="5" customFormat="false" ht="15" hidden="false" customHeight="false" outlineLevel="0" collapsed="false">
      <c r="A5" s="8" t="s">
        <v>78</v>
      </c>
      <c r="B5" s="8" t="s">
        <v>119</v>
      </c>
      <c r="C5" s="8" t="n">
        <v>4</v>
      </c>
      <c r="D5" s="8" t="s">
        <v>120</v>
      </c>
    </row>
    <row r="6" customFormat="false" ht="15" hidden="false" customHeight="false" outlineLevel="0" collapsed="false">
      <c r="A6" s="8" t="s">
        <v>85</v>
      </c>
      <c r="B6" s="8" t="s">
        <v>117</v>
      </c>
      <c r="C6" s="8" t="n">
        <v>6</v>
      </c>
      <c r="D6" s="8"/>
    </row>
    <row r="7" customFormat="false" ht="15" hidden="false" customHeight="false" outlineLevel="0" collapsed="false">
      <c r="A7" s="8" t="s">
        <v>85</v>
      </c>
      <c r="B7" s="8" t="s">
        <v>118</v>
      </c>
      <c r="C7" s="8" t="n">
        <v>2</v>
      </c>
      <c r="D7" s="8" t="s">
        <v>121</v>
      </c>
    </row>
    <row r="8" customFormat="false" ht="15" hidden="false" customHeight="false" outlineLevel="0" collapsed="false">
      <c r="A8" s="8" t="s">
        <v>85</v>
      </c>
      <c r="B8" s="8" t="s">
        <v>119</v>
      </c>
      <c r="C8" s="8" t="n">
        <v>4</v>
      </c>
      <c r="D8" s="8" t="s">
        <v>120</v>
      </c>
    </row>
    <row r="9" customFormat="false" ht="15" hidden="false" customHeight="false" outlineLevel="0" collapsed="false">
      <c r="A9" s="8" t="s">
        <v>90</v>
      </c>
      <c r="B9" s="8" t="s">
        <v>117</v>
      </c>
      <c r="C9" s="8" t="n">
        <v>2</v>
      </c>
      <c r="D9" s="8" t="s">
        <v>122</v>
      </c>
    </row>
    <row r="10" customFormat="false" ht="15" hidden="false" customHeight="false" outlineLevel="0" collapsed="false">
      <c r="A10" s="8" t="s">
        <v>90</v>
      </c>
      <c r="B10" s="8" t="s">
        <v>119</v>
      </c>
      <c r="C10" s="8" t="n">
        <v>1</v>
      </c>
      <c r="D10" s="8" t="s">
        <v>96</v>
      </c>
    </row>
    <row r="11" customFormat="false" ht="15" hidden="false" customHeight="false" outlineLevel="0" collapsed="false">
      <c r="A11" s="8" t="s">
        <v>100</v>
      </c>
      <c r="B11" s="8" t="s">
        <v>117</v>
      </c>
      <c r="C11" s="8" t="n">
        <v>2</v>
      </c>
      <c r="D11" s="8" t="s">
        <v>122</v>
      </c>
    </row>
    <row r="12" customFormat="false" ht="15" hidden="false" customHeight="false" outlineLevel="0" collapsed="false">
      <c r="A12" s="8" t="s">
        <v>100</v>
      </c>
      <c r="B12" s="8" t="s">
        <v>119</v>
      </c>
      <c r="C12" s="8" t="n">
        <v>1</v>
      </c>
      <c r="D12" s="8" t="s">
        <v>96</v>
      </c>
    </row>
    <row r="13" customFormat="false" ht="15" hidden="false" customHeight="false" outlineLevel="0" collapsed="false">
      <c r="A13" s="8" t="s">
        <v>103</v>
      </c>
      <c r="B13" s="8" t="s">
        <v>117</v>
      </c>
      <c r="C13" s="8" t="n">
        <v>2</v>
      </c>
      <c r="D13" s="8" t="s">
        <v>122</v>
      </c>
    </row>
    <row r="14" customFormat="false" ht="15" hidden="false" customHeight="false" outlineLevel="0" collapsed="false">
      <c r="A14" s="8" t="s">
        <v>103</v>
      </c>
      <c r="B14" s="8" t="s">
        <v>119</v>
      </c>
      <c r="C14" s="8" t="n">
        <v>1</v>
      </c>
      <c r="D14" s="8" t="s">
        <v>96</v>
      </c>
    </row>
    <row r="16" customFormat="false" ht="15" hidden="false" customHeight="false" outlineLevel="0" collapsed="false">
      <c r="A16" s="11" t="s">
        <v>123</v>
      </c>
    </row>
  </sheetData>
  <autoFilter ref="A1:D1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3" min="3" style="0" width="100"/>
  </cols>
  <sheetData>
    <row r="1" customFormat="false" ht="31.5" hidden="false" customHeight="true" outlineLevel="0" collapsed="false">
      <c r="A1" s="7" t="s">
        <v>51</v>
      </c>
      <c r="B1" s="7" t="s">
        <v>124</v>
      </c>
      <c r="C1" s="7" t="s">
        <v>125</v>
      </c>
    </row>
    <row r="2" customFormat="false" ht="15" hidden="false" customHeight="false" outlineLevel="0" collapsed="false">
      <c r="A2" s="8" t="s">
        <v>69</v>
      </c>
      <c r="B2" s="8" t="n">
        <v>1</v>
      </c>
      <c r="C2" s="8" t="s">
        <v>126</v>
      </c>
    </row>
    <row r="3" customFormat="false" ht="15" hidden="false" customHeight="false" outlineLevel="0" collapsed="false">
      <c r="A3" s="8" t="s">
        <v>69</v>
      </c>
      <c r="B3" s="8" t="n">
        <v>2</v>
      </c>
      <c r="C3" s="8" t="s">
        <v>127</v>
      </c>
    </row>
    <row r="4" customFormat="false" ht="15" hidden="false" customHeight="false" outlineLevel="0" collapsed="false">
      <c r="A4" s="8" t="s">
        <v>78</v>
      </c>
      <c r="B4" s="8" t="n">
        <v>1</v>
      </c>
      <c r="C4" s="8" t="s">
        <v>128</v>
      </c>
    </row>
    <row r="5" customFormat="false" ht="15" hidden="false" customHeight="false" outlineLevel="0" collapsed="false">
      <c r="A5" s="8" t="s">
        <v>78</v>
      </c>
      <c r="B5" s="8" t="n">
        <v>2</v>
      </c>
      <c r="C5" s="8" t="s">
        <v>129</v>
      </c>
    </row>
    <row r="6" customFormat="false" ht="15" hidden="false" customHeight="false" outlineLevel="0" collapsed="false">
      <c r="A6" s="8" t="s">
        <v>85</v>
      </c>
      <c r="B6" s="8" t="n">
        <v>1</v>
      </c>
      <c r="C6" s="8" t="s">
        <v>130</v>
      </c>
    </row>
    <row r="7" customFormat="false" ht="15" hidden="false" customHeight="false" outlineLevel="0" collapsed="false">
      <c r="A7" s="8" t="s">
        <v>85</v>
      </c>
      <c r="B7" s="8" t="n">
        <v>2</v>
      </c>
      <c r="C7" s="8" t="s">
        <v>131</v>
      </c>
    </row>
    <row r="8" customFormat="false" ht="15" hidden="false" customHeight="false" outlineLevel="0" collapsed="false">
      <c r="A8" s="8" t="s">
        <v>90</v>
      </c>
      <c r="B8" s="8" t="n">
        <v>1</v>
      </c>
      <c r="C8" s="8" t="s">
        <v>132</v>
      </c>
    </row>
    <row r="9" customFormat="false" ht="15" hidden="false" customHeight="false" outlineLevel="0" collapsed="false">
      <c r="A9" s="8" t="s">
        <v>100</v>
      </c>
      <c r="B9" s="8" t="n">
        <v>1</v>
      </c>
      <c r="C9" s="8" t="s">
        <v>132</v>
      </c>
    </row>
    <row r="10" customFormat="false" ht="15" hidden="false" customHeight="false" outlineLevel="0" collapsed="false">
      <c r="A10" s="8" t="s">
        <v>103</v>
      </c>
      <c r="B10" s="8" t="n">
        <v>1</v>
      </c>
      <c r="C10" s="8" t="s">
        <v>132</v>
      </c>
    </row>
    <row r="11" customFormat="false" ht="26.85" hidden="false" customHeight="false" outlineLevel="0" collapsed="false">
      <c r="A11" s="8" t="s">
        <v>106</v>
      </c>
      <c r="B11" s="8" t="n">
        <v>1</v>
      </c>
      <c r="C11" s="8" t="s">
        <v>133</v>
      </c>
    </row>
    <row r="12" customFormat="false" ht="15" hidden="false" customHeight="false" outlineLevel="0" collapsed="false">
      <c r="A12" s="8" t="s">
        <v>106</v>
      </c>
      <c r="B12" s="8" t="n">
        <v>2</v>
      </c>
      <c r="C12" s="8" t="s">
        <v>134</v>
      </c>
    </row>
  </sheetData>
  <autoFilter ref="A1:C1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24"/>
    <col collapsed="false" customWidth="true" hidden="false" outlineLevel="0" max="5" min="4" style="0" width="10"/>
    <col collapsed="false" customWidth="true" hidden="false" outlineLevel="0" max="7" min="6" style="0" width="8"/>
    <col collapsed="false" customWidth="true" hidden="false" outlineLevel="0" max="8" min="8" style="0" width="18"/>
    <col collapsed="false" customWidth="true" hidden="false" outlineLevel="0" max="9" min="9" style="0" width="10"/>
    <col collapsed="false" customWidth="true" hidden="false" outlineLevel="0" max="10" min="10" style="0" width="11"/>
    <col collapsed="false" customWidth="true" hidden="false" outlineLevel="0" max="11" min="11" style="0" width="10"/>
  </cols>
  <sheetData>
    <row r="1" customFormat="false" ht="31.5" hidden="false" customHeight="true" outlineLevel="0" collapsed="false">
      <c r="A1" s="7" t="s">
        <v>135</v>
      </c>
      <c r="B1" s="7" t="s">
        <v>55</v>
      </c>
      <c r="C1" s="7" t="s">
        <v>136</v>
      </c>
      <c r="D1" s="7" t="s">
        <v>57</v>
      </c>
      <c r="E1" s="7" t="s">
        <v>58</v>
      </c>
      <c r="F1" s="7" t="s">
        <v>59</v>
      </c>
      <c r="G1" s="7" t="s">
        <v>60</v>
      </c>
      <c r="H1" s="7" t="s">
        <v>137</v>
      </c>
      <c r="I1" s="7" t="s">
        <v>138</v>
      </c>
      <c r="J1" s="7" t="s">
        <v>66</v>
      </c>
      <c r="K1" s="7" t="s">
        <v>67</v>
      </c>
    </row>
    <row r="2" customFormat="false" ht="15" hidden="false" customHeight="false" outlineLevel="0" collapsed="false">
      <c r="A2" s="8" t="s">
        <v>139</v>
      </c>
      <c r="B2" s="8" t="s">
        <v>140</v>
      </c>
      <c r="C2" s="8" t="s">
        <v>141</v>
      </c>
      <c r="D2" s="8" t="n">
        <v>0.095</v>
      </c>
      <c r="E2" s="8" t="n">
        <v>-78.73</v>
      </c>
      <c r="F2" s="8" t="n">
        <v>742</v>
      </c>
      <c r="G2" s="8" t="n">
        <v>364</v>
      </c>
      <c r="H2" s="8" t="s">
        <v>78</v>
      </c>
      <c r="I2" s="8" t="s">
        <v>142</v>
      </c>
      <c r="J2" s="8" t="s">
        <v>83</v>
      </c>
      <c r="K2" s="8" t="s">
        <v>143</v>
      </c>
    </row>
  </sheetData>
  <autoFilter ref="A1:K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0"/>
    <col collapsed="false" customWidth="true" hidden="false" outlineLevel="0" max="4" min="3" style="0" width="10"/>
    <col collapsed="false" customWidth="true" hidden="false" outlineLevel="0" max="6" min="5" style="0" width="8"/>
  </cols>
  <sheetData>
    <row r="1" customFormat="false" ht="31.5" hidden="false" customHeight="true" outlineLevel="0" collapsed="false">
      <c r="A1" s="7" t="s">
        <v>144</v>
      </c>
      <c r="B1" s="7" t="s">
        <v>55</v>
      </c>
      <c r="C1" s="7" t="s">
        <v>57</v>
      </c>
      <c r="D1" s="7" t="s">
        <v>58</v>
      </c>
      <c r="E1" s="7" t="s">
        <v>59</v>
      </c>
      <c r="F1" s="7" t="s">
        <v>60</v>
      </c>
    </row>
    <row r="2" customFormat="false" ht="15" hidden="false" customHeight="false" outlineLevel="0" collapsed="false">
      <c r="A2" s="8" t="s">
        <v>145</v>
      </c>
      <c r="B2" s="8" t="s">
        <v>146</v>
      </c>
      <c r="C2" s="8" t="n">
        <v>0.161</v>
      </c>
      <c r="D2" s="8" t="n">
        <v>-78.786</v>
      </c>
      <c r="E2" s="8" t="n">
        <v>624</v>
      </c>
      <c r="F2" s="8" t="n">
        <v>131</v>
      </c>
    </row>
    <row r="3" customFormat="false" ht="15" hidden="false" customHeight="false" outlineLevel="0" collapsed="false">
      <c r="A3" s="8" t="s">
        <v>147</v>
      </c>
      <c r="B3" s="8" t="s">
        <v>148</v>
      </c>
      <c r="C3" s="8" t="n">
        <v>0.164</v>
      </c>
      <c r="D3" s="8" t="n">
        <v>-78.874</v>
      </c>
      <c r="E3" s="8" t="n">
        <v>580</v>
      </c>
      <c r="F3" s="8" t="n">
        <v>230</v>
      </c>
    </row>
    <row r="4" customFormat="false" ht="15" hidden="false" customHeight="false" outlineLevel="0" collapsed="false">
      <c r="A4" s="8" t="s">
        <v>149</v>
      </c>
      <c r="B4" s="8" t="s">
        <v>146</v>
      </c>
      <c r="C4" s="8" t="n">
        <v>0.0675</v>
      </c>
      <c r="D4" s="8" t="n">
        <v>-78.679</v>
      </c>
      <c r="E4" s="8" t="n">
        <v>520</v>
      </c>
      <c r="F4" s="8" t="n">
        <v>262</v>
      </c>
    </row>
    <row r="5" customFormat="false" ht="15" hidden="false" customHeight="false" outlineLevel="0" collapsed="false">
      <c r="A5" s="8" t="s">
        <v>150</v>
      </c>
      <c r="B5" s="8" t="s">
        <v>151</v>
      </c>
      <c r="C5" s="8" t="n">
        <v>0.087</v>
      </c>
      <c r="D5" s="8" t="n">
        <v>-78.733</v>
      </c>
      <c r="E5" s="8" t="n">
        <v>525</v>
      </c>
      <c r="F5" s="8" t="n">
        <v>370</v>
      </c>
    </row>
    <row r="6" customFormat="false" ht="15" hidden="false" customHeight="false" outlineLevel="0" collapsed="false">
      <c r="A6" s="8" t="s">
        <v>152</v>
      </c>
      <c r="B6" s="8" t="s">
        <v>153</v>
      </c>
      <c r="C6" s="8" t="n">
        <v>-0.22</v>
      </c>
      <c r="D6" s="8" t="n">
        <v>-78.5125</v>
      </c>
      <c r="E6" s="8" t="n">
        <v>402</v>
      </c>
      <c r="F6" s="8" t="n">
        <v>587</v>
      </c>
    </row>
    <row r="7" customFormat="false" ht="15" hidden="false" customHeight="false" outlineLevel="0" collapsed="false">
      <c r="A7" s="8" t="s">
        <v>154</v>
      </c>
      <c r="B7" s="8" t="s">
        <v>155</v>
      </c>
      <c r="C7" s="8" t="n">
        <v>-0.465</v>
      </c>
      <c r="D7" s="8" t="n">
        <v>-78.58</v>
      </c>
      <c r="E7" s="8" t="n">
        <v>590</v>
      </c>
      <c r="F7" s="8" t="n">
        <v>592</v>
      </c>
    </row>
    <row r="8" customFormat="false" ht="15" hidden="false" customHeight="false" outlineLevel="0" collapsed="false">
      <c r="A8" s="8" t="s">
        <v>156</v>
      </c>
      <c r="B8" s="8" t="s">
        <v>157</v>
      </c>
      <c r="C8" s="8"/>
      <c r="D8" s="8"/>
      <c r="E8" s="8"/>
      <c r="F8" s="8"/>
    </row>
    <row r="9" customFormat="false" ht="15" hidden="false" customHeight="false" outlineLevel="0" collapsed="false">
      <c r="A9" s="8" t="s">
        <v>158</v>
      </c>
      <c r="B9" s="8" t="s">
        <v>157</v>
      </c>
      <c r="C9" s="8"/>
      <c r="D9" s="8"/>
      <c r="E9" s="8"/>
      <c r="F9" s="8"/>
    </row>
    <row r="11" customFormat="false" ht="15" hidden="false" customHeight="false" outlineLevel="0" collapsed="false">
      <c r="A11" s="11" t="s">
        <v>159</v>
      </c>
    </row>
  </sheetData>
  <autoFilter ref="A1:F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4"/>
    <col collapsed="false" customWidth="true" hidden="false" outlineLevel="0" max="5" min="3" style="0" width="8"/>
    <col collapsed="false" customWidth="true" hidden="false" outlineLevel="0" max="6" min="6" style="0" width="32"/>
    <col collapsed="false" customWidth="true" hidden="false" outlineLevel="0" max="8" min="7" style="0" width="11"/>
  </cols>
  <sheetData>
    <row r="1" customFormat="false" ht="31.5" hidden="false" customHeight="true" outlineLevel="0" collapsed="false">
      <c r="A1" s="7" t="s">
        <v>160</v>
      </c>
      <c r="B1" s="7" t="s">
        <v>161</v>
      </c>
      <c r="C1" s="7" t="s">
        <v>124</v>
      </c>
      <c r="D1" s="7" t="s">
        <v>59</v>
      </c>
      <c r="E1" s="7" t="s">
        <v>60</v>
      </c>
      <c r="F1" s="7" t="s">
        <v>162</v>
      </c>
      <c r="G1" s="7" t="s">
        <v>66</v>
      </c>
      <c r="H1" s="7" t="s">
        <v>163</v>
      </c>
    </row>
    <row r="2" customFormat="false" ht="15" hidden="false" customHeight="false" outlineLevel="0" collapsed="false">
      <c r="A2" s="8" t="s">
        <v>164</v>
      </c>
      <c r="B2" s="8" t="s">
        <v>165</v>
      </c>
      <c r="C2" s="8" t="n">
        <v>1</v>
      </c>
      <c r="D2" s="8" t="n">
        <v>550</v>
      </c>
      <c r="E2" s="8" t="n">
        <v>262</v>
      </c>
      <c r="F2" s="8" t="s">
        <v>166</v>
      </c>
      <c r="G2" s="8" t="s">
        <v>167</v>
      </c>
      <c r="H2" s="8" t="s">
        <v>168</v>
      </c>
    </row>
    <row r="3" customFormat="false" ht="15" hidden="false" customHeight="false" outlineLevel="0" collapsed="false">
      <c r="A3" s="8" t="s">
        <v>164</v>
      </c>
      <c r="B3" s="8" t="s">
        <v>165</v>
      </c>
      <c r="C3" s="8" t="n">
        <v>2</v>
      </c>
      <c r="D3" s="8" t="n">
        <v>547</v>
      </c>
      <c r="E3" s="8" t="n">
        <v>313</v>
      </c>
      <c r="F3" s="8" t="s">
        <v>169</v>
      </c>
      <c r="G3" s="8" t="s">
        <v>167</v>
      </c>
      <c r="H3" s="8" t="s">
        <v>168</v>
      </c>
    </row>
    <row r="4" customFormat="false" ht="15" hidden="false" customHeight="false" outlineLevel="0" collapsed="false">
      <c r="A4" s="8" t="s">
        <v>164</v>
      </c>
      <c r="B4" s="8" t="s">
        <v>165</v>
      </c>
      <c r="C4" s="8" t="n">
        <v>3</v>
      </c>
      <c r="D4" s="8" t="n">
        <v>500</v>
      </c>
      <c r="E4" s="8" t="n">
        <v>365</v>
      </c>
      <c r="F4" s="8" t="s">
        <v>170</v>
      </c>
      <c r="G4" s="8" t="s">
        <v>167</v>
      </c>
      <c r="H4" s="8" t="s">
        <v>168</v>
      </c>
    </row>
    <row r="5" customFormat="false" ht="15" hidden="false" customHeight="false" outlineLevel="0" collapsed="false">
      <c r="A5" s="8" t="s">
        <v>164</v>
      </c>
      <c r="B5" s="8" t="s">
        <v>165</v>
      </c>
      <c r="C5" s="8" t="n">
        <v>4</v>
      </c>
      <c r="D5" s="8" t="n">
        <v>580</v>
      </c>
      <c r="E5" s="8" t="n">
        <v>230</v>
      </c>
      <c r="F5" s="8" t="s">
        <v>147</v>
      </c>
      <c r="G5" s="8" t="s">
        <v>167</v>
      </c>
      <c r="H5" s="8" t="s">
        <v>168</v>
      </c>
    </row>
    <row r="6" customFormat="false" ht="15" hidden="false" customHeight="false" outlineLevel="0" collapsed="false">
      <c r="A6" s="8" t="s">
        <v>164</v>
      </c>
      <c r="B6" s="8" t="s">
        <v>165</v>
      </c>
      <c r="C6" s="8" t="n">
        <v>5</v>
      </c>
      <c r="D6" s="8" t="n">
        <v>611</v>
      </c>
      <c r="E6" s="8" t="n">
        <v>152</v>
      </c>
      <c r="F6" s="8" t="s">
        <v>171</v>
      </c>
      <c r="G6" s="8" t="s">
        <v>167</v>
      </c>
      <c r="H6" s="8" t="s">
        <v>168</v>
      </c>
    </row>
    <row r="7" customFormat="false" ht="15" hidden="false" customHeight="false" outlineLevel="0" collapsed="false">
      <c r="A7" s="8" t="s">
        <v>172</v>
      </c>
      <c r="B7" s="8" t="s">
        <v>173</v>
      </c>
      <c r="C7" s="8" t="n">
        <v>1</v>
      </c>
      <c r="D7" s="8" t="n">
        <v>540</v>
      </c>
      <c r="E7" s="8" t="n">
        <v>434</v>
      </c>
      <c r="F7" s="8" t="s">
        <v>174</v>
      </c>
      <c r="G7" s="8" t="s">
        <v>75</v>
      </c>
      <c r="H7" s="8" t="s">
        <v>175</v>
      </c>
    </row>
    <row r="8" customFormat="false" ht="15" hidden="false" customHeight="false" outlineLevel="0" collapsed="false">
      <c r="A8" s="8" t="s">
        <v>172</v>
      </c>
      <c r="B8" s="8" t="s">
        <v>173</v>
      </c>
      <c r="C8" s="8" t="n">
        <v>2</v>
      </c>
      <c r="D8" s="8" t="n">
        <v>568</v>
      </c>
      <c r="E8" s="8" t="n">
        <v>488</v>
      </c>
      <c r="F8" s="8" t="s">
        <v>176</v>
      </c>
      <c r="G8" s="8" t="s">
        <v>75</v>
      </c>
      <c r="H8" s="8" t="s">
        <v>175</v>
      </c>
    </row>
    <row r="9" customFormat="false" ht="15" hidden="false" customHeight="false" outlineLevel="0" collapsed="false">
      <c r="A9" s="8" t="s">
        <v>172</v>
      </c>
      <c r="B9" s="8" t="s">
        <v>173</v>
      </c>
      <c r="C9" s="8" t="n">
        <v>3</v>
      </c>
      <c r="D9" s="8" t="n">
        <v>573</v>
      </c>
      <c r="E9" s="8" t="n">
        <v>541</v>
      </c>
      <c r="F9" s="8" t="s">
        <v>177</v>
      </c>
      <c r="G9" s="8" t="s">
        <v>75</v>
      </c>
      <c r="H9" s="8" t="s">
        <v>175</v>
      </c>
    </row>
    <row r="10" customFormat="false" ht="15" hidden="false" customHeight="false" outlineLevel="0" collapsed="false">
      <c r="A10" s="8" t="s">
        <v>172</v>
      </c>
      <c r="B10" s="8" t="s">
        <v>173</v>
      </c>
      <c r="C10" s="8" t="n">
        <v>4</v>
      </c>
      <c r="D10" s="8" t="n">
        <v>590</v>
      </c>
      <c r="E10" s="8" t="n">
        <v>592</v>
      </c>
      <c r="F10" s="8" t="s">
        <v>154</v>
      </c>
      <c r="G10" s="8" t="s">
        <v>75</v>
      </c>
      <c r="H10" s="8" t="s">
        <v>175</v>
      </c>
    </row>
    <row r="12" customFormat="false" ht="15" hidden="false" customHeight="false" outlineLevel="0" collapsed="false">
      <c r="A12" s="11" t="s">
        <v>178</v>
      </c>
    </row>
  </sheetData>
  <autoFilter ref="A1:H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50"/>
    <col collapsed="false" customWidth="true" hidden="false" outlineLevel="0" max="4" min="3" style="0" width="7"/>
    <col collapsed="false" customWidth="true" hidden="false" outlineLevel="0" max="6" min="5" style="0" width="8"/>
    <col collapsed="false" customWidth="true" hidden="false" outlineLevel="0" max="7" min="7" style="0" width="20"/>
  </cols>
  <sheetData>
    <row r="1" customFormat="false" ht="31.5" hidden="false" customHeight="true" outlineLevel="0" collapsed="false">
      <c r="A1" s="7" t="s">
        <v>179</v>
      </c>
      <c r="B1" s="7" t="s">
        <v>33</v>
      </c>
      <c r="C1" s="7" t="s">
        <v>180</v>
      </c>
      <c r="D1" s="7" t="s">
        <v>181</v>
      </c>
      <c r="E1" s="7" t="s">
        <v>182</v>
      </c>
      <c r="F1" s="7" t="s">
        <v>183</v>
      </c>
      <c r="G1" s="7" t="s">
        <v>184</v>
      </c>
    </row>
    <row r="2" customFormat="false" ht="15" hidden="false" customHeight="false" outlineLevel="0" collapsed="false">
      <c r="A2" s="8" t="s">
        <v>185</v>
      </c>
      <c r="B2" s="8" t="s">
        <v>186</v>
      </c>
      <c r="C2" s="8" t="n">
        <v>8</v>
      </c>
      <c r="D2" s="8" t="n">
        <v>95</v>
      </c>
      <c r="E2" s="8" t="n">
        <v>370</v>
      </c>
      <c r="F2" s="8" t="n">
        <v>298</v>
      </c>
      <c r="G2" s="8" t="s">
        <v>69</v>
      </c>
    </row>
    <row r="3" customFormat="false" ht="15" hidden="false" customHeight="false" outlineLevel="0" collapsed="false">
      <c r="A3" s="8" t="s">
        <v>187</v>
      </c>
      <c r="B3" s="8" t="s">
        <v>188</v>
      </c>
      <c r="C3" s="8" t="n">
        <v>8</v>
      </c>
      <c r="D3" s="8" t="n">
        <v>398</v>
      </c>
      <c r="E3" s="8" t="n">
        <v>370</v>
      </c>
      <c r="F3" s="8" t="n">
        <v>252</v>
      </c>
      <c r="G3" s="8" t="s">
        <v>189</v>
      </c>
    </row>
    <row r="4" customFormat="false" ht="15" hidden="false" customHeight="false" outlineLevel="0" collapsed="false">
      <c r="A4" s="8" t="s">
        <v>190</v>
      </c>
      <c r="B4" s="8" t="s">
        <v>191</v>
      </c>
      <c r="C4" s="8" t="n">
        <v>8</v>
      </c>
      <c r="D4" s="8" t="n">
        <v>655</v>
      </c>
      <c r="E4" s="8" t="n">
        <v>370</v>
      </c>
      <c r="F4" s="8" t="n">
        <v>75</v>
      </c>
      <c r="G4" s="8"/>
    </row>
    <row r="5" customFormat="false" ht="15" hidden="false" customHeight="false" outlineLevel="0" collapsed="false">
      <c r="A5" s="8" t="s">
        <v>192</v>
      </c>
      <c r="B5" s="8" t="s">
        <v>193</v>
      </c>
      <c r="C5" s="8" t="n">
        <v>8</v>
      </c>
      <c r="D5" s="8" t="n">
        <v>733</v>
      </c>
      <c r="E5" s="8" t="n">
        <v>566</v>
      </c>
      <c r="F5" s="8" t="n">
        <v>72</v>
      </c>
      <c r="G5" s="8"/>
    </row>
    <row r="6" customFormat="false" ht="15" hidden="false" customHeight="false" outlineLevel="0" collapsed="false">
      <c r="A6" s="8" t="s">
        <v>194</v>
      </c>
      <c r="B6" s="8" t="s">
        <v>195</v>
      </c>
      <c r="C6" s="8" t="n">
        <v>580</v>
      </c>
      <c r="D6" s="8" t="n">
        <v>733</v>
      </c>
      <c r="E6" s="8" t="n">
        <v>392</v>
      </c>
      <c r="F6" s="8" t="n">
        <v>72</v>
      </c>
      <c r="G6" s="8"/>
    </row>
    <row r="7" customFormat="false" ht="15" hidden="false" customHeight="false" outlineLevel="0" collapsed="false">
      <c r="A7" s="8" t="s">
        <v>196</v>
      </c>
      <c r="B7" s="8" t="s">
        <v>197</v>
      </c>
      <c r="C7" s="8" t="n">
        <v>843</v>
      </c>
      <c r="D7" s="8" t="n">
        <v>95</v>
      </c>
      <c r="E7" s="8" t="n">
        <v>413</v>
      </c>
      <c r="F7" s="8" t="n">
        <v>245</v>
      </c>
      <c r="G7" s="8" t="s">
        <v>78</v>
      </c>
    </row>
    <row r="8" customFormat="false" ht="15" hidden="false" customHeight="false" outlineLevel="0" collapsed="false">
      <c r="A8" s="8" t="s">
        <v>198</v>
      </c>
      <c r="B8" s="8" t="s">
        <v>199</v>
      </c>
      <c r="C8" s="8" t="n">
        <v>843</v>
      </c>
      <c r="D8" s="8" t="n">
        <v>345</v>
      </c>
      <c r="E8" s="8" t="n">
        <v>413</v>
      </c>
      <c r="F8" s="8" t="n">
        <v>220</v>
      </c>
      <c r="G8" s="8" t="s">
        <v>85</v>
      </c>
    </row>
    <row r="9" customFormat="false" ht="15" hidden="false" customHeight="false" outlineLevel="0" collapsed="false">
      <c r="A9" s="8" t="s">
        <v>200</v>
      </c>
      <c r="B9" s="8" t="s">
        <v>201</v>
      </c>
      <c r="C9" s="8" t="n">
        <v>843</v>
      </c>
      <c r="D9" s="8" t="n">
        <v>570</v>
      </c>
      <c r="E9" s="8" t="n">
        <v>413</v>
      </c>
      <c r="F9" s="8" t="n">
        <v>155</v>
      </c>
      <c r="G9" s="8" t="s">
        <v>106</v>
      </c>
    </row>
    <row r="10" customFormat="false" ht="15" hidden="false" customHeight="false" outlineLevel="0" collapsed="false">
      <c r="A10" s="8" t="s">
        <v>202</v>
      </c>
      <c r="B10" s="8" t="s">
        <v>203</v>
      </c>
      <c r="C10" s="8" t="n">
        <v>385</v>
      </c>
      <c r="D10" s="8" t="n">
        <v>618</v>
      </c>
      <c r="E10" s="8" t="n">
        <v>452</v>
      </c>
      <c r="F10" s="8" t="n">
        <v>112</v>
      </c>
      <c r="G10" s="8"/>
    </row>
  </sheetData>
  <autoFilter ref="A1:G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3" min="2" style="0" width="16"/>
    <col collapsed="false" customWidth="true" hidden="false" outlineLevel="0" max="4" min="4" style="0" width="14"/>
  </cols>
  <sheetData>
    <row r="1" customFormat="false" ht="16.15" hidden="false" customHeight="false" outlineLevel="0" collapsed="false">
      <c r="A1" s="12" t="s">
        <v>204</v>
      </c>
    </row>
    <row r="2" customFormat="false" ht="31.5" hidden="false" customHeight="true" outlineLevel="0" collapsed="false">
      <c r="A2" s="7" t="s">
        <v>205</v>
      </c>
      <c r="B2" s="7" t="s">
        <v>206</v>
      </c>
      <c r="C2" s="7" t="s">
        <v>207</v>
      </c>
      <c r="D2" s="7" t="s">
        <v>208</v>
      </c>
    </row>
    <row r="3" customFormat="false" ht="15" hidden="false" customHeight="false" outlineLevel="0" collapsed="false">
      <c r="A3" s="8" t="s">
        <v>209</v>
      </c>
      <c r="B3" s="10" t="n">
        <f aca="false">SUMIFS(PUNTOS_OPERATIVOS!K:K,PUNTOS_OPERATIVOS!F:F,"Control")</f>
        <v>16</v>
      </c>
      <c r="C3" s="8" t="n">
        <v>16</v>
      </c>
      <c r="D3" s="10" t="str">
        <f aca="false">IF(B3=C3,"OK","REVISAR")</f>
        <v>OK</v>
      </c>
    </row>
    <row r="4" customFormat="false" ht="15" hidden="false" customHeight="false" outlineLevel="0" collapsed="false">
      <c r="A4" s="8" t="s">
        <v>210</v>
      </c>
      <c r="B4" s="10" t="n">
        <f aca="false">SUMIFS(PUNTOS_OPERATIVOS!K:K,PUNTOS_OPERATIVOS!F:F,"Desvíos hacia el sur")</f>
        <v>6</v>
      </c>
      <c r="C4" s="8" t="n">
        <v>6</v>
      </c>
      <c r="D4" s="10" t="str">
        <f aca="false">IF(B4=C4,"OK","REVISAR")</f>
        <v>OK</v>
      </c>
    </row>
    <row r="5" customFormat="false" ht="15" hidden="false" customHeight="false" outlineLevel="0" collapsed="false">
      <c r="A5" s="8" t="s">
        <v>211</v>
      </c>
      <c r="B5" s="10" t="n">
        <f aca="false">SUM(PUNTOS_OPERATIVOS!K:K)</f>
        <v>22</v>
      </c>
      <c r="C5" s="8" t="n">
        <v>22</v>
      </c>
      <c r="D5" s="10" t="str">
        <f aca="false">IF(B5=C5,"OK","REVISAR")</f>
        <v>OK</v>
      </c>
    </row>
    <row r="6" customFormat="false" ht="15" hidden="false" customHeight="false" outlineLevel="0" collapsed="false">
      <c r="A6" s="8" t="s">
        <v>212</v>
      </c>
      <c r="B6" s="10" t="n">
        <f aca="false">SUM(PUNTOS_OPERATIVOS!L:L)</f>
        <v>4</v>
      </c>
      <c r="C6" s="8" t="n">
        <v>4</v>
      </c>
      <c r="D6" s="10" t="str">
        <f aca="false">IF(B6=C6,"OK","REVISAR")</f>
        <v>OK</v>
      </c>
    </row>
    <row r="7" customFormat="false" ht="15" hidden="false" customHeight="false" outlineLevel="0" collapsed="false">
      <c r="A7" s="8" t="s">
        <v>213</v>
      </c>
      <c r="B7" s="10" t="n">
        <f aca="false">SUMIFS(PUNTOS_OPERATIVOS!M:M,PUNTOS_OPERATIVOS!F:F,"Control")</f>
        <v>8</v>
      </c>
      <c r="C7" s="8" t="n">
        <v>8</v>
      </c>
      <c r="D7" s="10" t="str">
        <f aca="false">IF(B7=C7,"OK","REVISAR")</f>
        <v>OK</v>
      </c>
    </row>
    <row r="8" customFormat="false" ht="15" hidden="false" customHeight="false" outlineLevel="0" collapsed="false">
      <c r="A8" s="8" t="s">
        <v>214</v>
      </c>
      <c r="B8" s="10" t="n">
        <f aca="false">SUMIFS(PUNTOS_OPERATIVOS!M:M,PUNTOS_OPERATIVOS!F:F,"Desvíos hacia el sur")</f>
        <v>3</v>
      </c>
      <c r="C8" s="8" t="n">
        <v>3</v>
      </c>
      <c r="D8" s="10" t="str">
        <f aca="false">IF(B8=C8,"OK","REVISAR")</f>
        <v>OK</v>
      </c>
    </row>
    <row r="9" customFormat="false" ht="15" hidden="false" customHeight="false" outlineLevel="0" collapsed="false">
      <c r="A9" s="8" t="s">
        <v>215</v>
      </c>
      <c r="B9" s="10" t="n">
        <f aca="false">SUM(PUNTOS_OPERATIVOS!M:M)</f>
        <v>11</v>
      </c>
      <c r="C9" s="8" t="n">
        <v>11</v>
      </c>
      <c r="D9" s="10" t="str">
        <f aca="false">IF(B9=C9,"OK","REVISAR")</f>
        <v>OK</v>
      </c>
    </row>
    <row r="10" customFormat="false" ht="15" hidden="false" customHeight="false" outlineLevel="0" collapsed="false">
      <c r="A10" s="13" t="s">
        <v>216</v>
      </c>
      <c r="B10" s="13" t="n">
        <f aca="false">B5+B6+B9</f>
        <v>37</v>
      </c>
      <c r="C10" s="8" t="n">
        <v>37</v>
      </c>
      <c r="D10" s="10" t="str">
        <f aca="false">IF(B10=C10,"OK","REVISAR")</f>
        <v>OK</v>
      </c>
    </row>
  </sheetData>
  <autoFilter ref="A2:D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2"/>
    <col collapsed="false" customWidth="true" hidden="false" outlineLevel="0" max="4" min="3" style="0" width="11"/>
    <col collapsed="false" customWidth="true" hidden="false" outlineLevel="0" max="5" min="5" style="0" width="22"/>
  </cols>
  <sheetData>
    <row r="1" customFormat="false" ht="31.5" hidden="false" customHeight="true" outlineLevel="0" collapsed="false">
      <c r="A1" s="7" t="s">
        <v>217</v>
      </c>
      <c r="B1" s="7" t="s">
        <v>218</v>
      </c>
      <c r="C1" s="7" t="s">
        <v>219</v>
      </c>
      <c r="D1" s="7" t="s">
        <v>66</v>
      </c>
      <c r="E1" s="7" t="s">
        <v>163</v>
      </c>
    </row>
    <row r="2" customFormat="false" ht="15" hidden="false" customHeight="false" outlineLevel="0" collapsed="false">
      <c r="A2" s="8" t="s">
        <v>220</v>
      </c>
      <c r="B2" s="8" t="s">
        <v>221</v>
      </c>
      <c r="C2" s="8" t="s">
        <v>222</v>
      </c>
      <c r="D2" s="14" t="s">
        <v>167</v>
      </c>
      <c r="E2" s="8" t="s">
        <v>223</v>
      </c>
    </row>
    <row r="3" customFormat="false" ht="15" hidden="false" customHeight="false" outlineLevel="0" collapsed="false">
      <c r="A3" s="8" t="s">
        <v>224</v>
      </c>
      <c r="B3" s="8" t="s">
        <v>225</v>
      </c>
      <c r="C3" s="8" t="s">
        <v>222</v>
      </c>
      <c r="D3" s="15" t="s">
        <v>226</v>
      </c>
      <c r="E3" s="8" t="s">
        <v>223</v>
      </c>
    </row>
    <row r="4" customFormat="false" ht="15" hidden="false" customHeight="false" outlineLevel="0" collapsed="false">
      <c r="A4" s="8" t="s">
        <v>227</v>
      </c>
      <c r="B4" s="8" t="s">
        <v>173</v>
      </c>
      <c r="C4" s="8" t="s">
        <v>222</v>
      </c>
      <c r="D4" s="16" t="s">
        <v>75</v>
      </c>
      <c r="E4" s="8" t="s">
        <v>228</v>
      </c>
    </row>
    <row r="5" customFormat="false" ht="26.85" hidden="false" customHeight="false" outlineLevel="0" collapsed="false">
      <c r="A5" s="8" t="s">
        <v>229</v>
      </c>
      <c r="B5" s="8" t="s">
        <v>230</v>
      </c>
      <c r="C5" s="8" t="s">
        <v>222</v>
      </c>
      <c r="D5" s="17" t="s">
        <v>231</v>
      </c>
      <c r="E5" s="8" t="s">
        <v>228</v>
      </c>
    </row>
    <row r="6" customFormat="false" ht="15" hidden="false" customHeight="false" outlineLevel="0" collapsed="false">
      <c r="A6" s="8" t="s">
        <v>232</v>
      </c>
      <c r="B6" s="8" t="s">
        <v>233</v>
      </c>
      <c r="C6" s="8" t="s">
        <v>234</v>
      </c>
      <c r="D6" s="18" t="s">
        <v>235</v>
      </c>
      <c r="E6" s="8" t="s">
        <v>236</v>
      </c>
    </row>
    <row r="7" customFormat="false" ht="15" hidden="false" customHeight="false" outlineLevel="0" collapsed="false">
      <c r="A7" s="8" t="s">
        <v>237</v>
      </c>
      <c r="B7" s="8" t="s">
        <v>140</v>
      </c>
      <c r="C7" s="8" t="s">
        <v>238</v>
      </c>
      <c r="D7" s="19" t="s">
        <v>83</v>
      </c>
      <c r="E7" s="8" t="s">
        <v>239</v>
      </c>
    </row>
    <row r="8" customFormat="false" ht="26.85" hidden="false" customHeight="false" outlineLevel="0" collapsed="false">
      <c r="A8" s="8" t="s">
        <v>240</v>
      </c>
      <c r="B8" s="8" t="s">
        <v>241</v>
      </c>
      <c r="C8" s="8" t="s">
        <v>238</v>
      </c>
      <c r="D8" s="19" t="s">
        <v>83</v>
      </c>
      <c r="E8" s="8" t="s">
        <v>242</v>
      </c>
    </row>
    <row r="9" customFormat="false" ht="15" hidden="false" customHeight="false" outlineLevel="0" collapsed="false">
      <c r="A9" s="8" t="s">
        <v>243</v>
      </c>
      <c r="B9" s="8" t="s">
        <v>109</v>
      </c>
      <c r="C9" s="8" t="s">
        <v>238</v>
      </c>
      <c r="D9" s="20" t="s">
        <v>110</v>
      </c>
      <c r="E9" s="8" t="s">
        <v>244</v>
      </c>
    </row>
  </sheetData>
  <autoFilter ref="A1:E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110"/>
  </cols>
  <sheetData>
    <row r="1" customFormat="false" ht="31.5" hidden="false" customHeight="true" outlineLevel="0" collapsed="false">
      <c r="A1" s="7" t="s">
        <v>245</v>
      </c>
      <c r="B1" s="7" t="s">
        <v>246</v>
      </c>
      <c r="C1" s="7" t="s">
        <v>247</v>
      </c>
    </row>
    <row r="2" customFormat="false" ht="26.85" hidden="false" customHeight="false" outlineLevel="0" collapsed="false">
      <c r="A2" s="8" t="n">
        <v>1</v>
      </c>
      <c r="B2" s="8" t="s">
        <v>248</v>
      </c>
      <c r="C2" s="8" t="s">
        <v>249</v>
      </c>
    </row>
    <row r="3" customFormat="false" ht="26.85" hidden="false" customHeight="false" outlineLevel="0" collapsed="false">
      <c r="A3" s="8" t="n">
        <v>2</v>
      </c>
      <c r="B3" s="8" t="s">
        <v>250</v>
      </c>
      <c r="C3" s="8" t="s">
        <v>251</v>
      </c>
    </row>
    <row r="4" customFormat="false" ht="15" hidden="false" customHeight="false" outlineLevel="0" collapsed="false">
      <c r="A4" s="8" t="n">
        <v>3</v>
      </c>
      <c r="B4" s="8" t="s">
        <v>252</v>
      </c>
      <c r="C4" s="8" t="s">
        <v>253</v>
      </c>
    </row>
    <row r="5" customFormat="false" ht="26.85" hidden="false" customHeight="false" outlineLevel="0" collapsed="false">
      <c r="A5" s="8" t="n">
        <v>4</v>
      </c>
      <c r="B5" s="8" t="s">
        <v>254</v>
      </c>
      <c r="C5" s="8" t="s">
        <v>255</v>
      </c>
    </row>
    <row r="6" customFormat="false" ht="15" hidden="false" customHeight="false" outlineLevel="0" collapsed="false">
      <c r="A6" s="8" t="n">
        <v>5</v>
      </c>
      <c r="B6" s="8" t="s">
        <v>256</v>
      </c>
      <c r="C6" s="8" t="s">
        <v>257</v>
      </c>
    </row>
    <row r="7" customFormat="false" ht="15" hidden="false" customHeight="false" outlineLevel="0" collapsed="false">
      <c r="A7" s="8" t="n">
        <v>6</v>
      </c>
      <c r="B7" s="8" t="s">
        <v>258</v>
      </c>
      <c r="C7" s="8" t="s">
        <v>259</v>
      </c>
    </row>
  </sheetData>
  <autoFilter ref="A1:C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2026-10-16T13:54:20Z</dcterms:created>
  <dc:creator>openpyxl</dc:creator>
  <dc:description/>
  <dc:language>en-US</dc:language>
  <cp:lastModifiedBy/>
  <dcterms:modified xsi:type="dcterms:W3CDTF">2026-10-16T13:54:20Z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