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5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16.xml" ContentType="application/vnd.openxmlformats-officedocument.drawing+xml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3.vml" ContentType="application/vnd.openxmlformats-officedocument.vmlDrawing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6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14.xml" ContentType="application/vnd.openxmlformats-officedocument.drawing+xml"/>
  <Override PartName="/xl/sharedStrings.xml" ContentType="application/vnd.openxmlformats-officedocument.spreadsheetml.sharedString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DIAPOSITIVAS" sheetId="2" state="visible" r:id="rId4"/>
    <sheet name="SITUACION_GENERAL" sheetId="3" state="visible" r:id="rId5"/>
    <sheet name="JURISDICCION" sheetId="4" state="visible" r:id="rId6"/>
    <sheet name="CANTONES_AFECTADOS" sheetId="5" state="visible" r:id="rId7"/>
    <sheet name="ZONAS_IMPACTO" sheetId="6" state="visible" r:id="rId8"/>
    <sheet name="POBLACION_AISLADA" sheetId="7" state="visible" r:id="rId9"/>
    <sheet name="PERSONAL_MILITAR" sheetId="8" state="visible" r:id="rId10"/>
    <sheet name="MEDIOS" sheetId="9" state="visible" r:id="rId11"/>
    <sheet name="INSTITUCIONES" sheetId="10" state="visible" r:id="rId12"/>
    <sheet name="LINEAS_ACCION" sheetId="11" state="visible" r:id="rId13"/>
    <sheet name="OPERACIONES_INST" sheetId="12" state="visible" r:id="rId14"/>
    <sheet name="CONCLUSIONES" sheetId="13" state="visible" r:id="rId15"/>
    <sheet name="SITIOS_REFERENCIA" sheetId="14" state="visible" r:id="rId16"/>
    <sheet name="PANELES_LAMINA2" sheetId="15" state="visible" r:id="rId17"/>
    <sheet name="RESUMEN" sheetId="16" state="visible" r:id="rId18"/>
    <sheet name="GRAFICAS" sheetId="17" state="visible" r:id="rId19"/>
    <sheet name="OBSERVACIONES" sheetId="18" state="visible" r:id="rId20"/>
  </sheets>
  <definedNames>
    <definedName function="false" hidden="true" localSheetId="4" name="_xlnm._FilterDatabase" vbProcedure="false">CANTONES_AFECTADOS!$A$1:$N$6</definedName>
    <definedName function="false" hidden="true" localSheetId="12" name="_xlnm._FilterDatabase" vbProcedure="false">CONCLUSIONES!$A$1:$C$5</definedName>
    <definedName function="false" hidden="true" localSheetId="1" name="_xlnm._FilterDatabase" vbProcedure="false">DIAPOSITIVAS!$A$1:$E$14</definedName>
    <definedName function="false" hidden="true" localSheetId="9" name="_xlnm._FilterDatabase" vbProcedure="false">INSTITUCIONES!$A$1:$E$13</definedName>
    <definedName function="false" hidden="true" localSheetId="3" name="_xlnm._FilterDatabase" vbProcedure="false">JURISDICCION!$A$1:$F$27</definedName>
    <definedName function="false" hidden="true" localSheetId="10" name="_xlnm._FilterDatabase" vbProcedure="false">LINEAS_ACCION!$A$1:$D$10</definedName>
    <definedName function="false" hidden="true" localSheetId="8" name="_xlnm._FilterDatabase" vbProcedure="false">MEDIOS!$A$1:$F$8</definedName>
    <definedName function="false" hidden="true" localSheetId="17" name="_xlnm._FilterDatabase" vbProcedure="false">OBSERVACIONES!$A$1:$C$7</definedName>
    <definedName function="false" hidden="true" localSheetId="11" name="_xlnm._FilterDatabase" vbProcedure="false">OPERACIONES_INST!$A$1:$D$5</definedName>
    <definedName function="false" hidden="true" localSheetId="14" name="_xlnm._FilterDatabase" vbProcedure="false">PANELES_LAMINA2!$A$1:$G$5</definedName>
    <definedName function="false" hidden="true" localSheetId="7" name="_xlnm._FilterDatabase" vbProcedure="false">PERSONAL_MILITAR!$A$1:$E$6</definedName>
    <definedName function="false" hidden="true" localSheetId="6" name="_xlnm._FilterDatabase" vbProcedure="false">POBLACION_AISLADA!$A$1:$F$4</definedName>
    <definedName function="false" hidden="true" localSheetId="15" name="_xlnm._FilterDatabase" vbProcedure="false">RESUMEN!$A$2:$D$10</definedName>
    <definedName function="false" hidden="true" localSheetId="13" name="_xlnm._FilterDatabase" vbProcedure="false">SITIOS_REFERENCIA!$A$1:$F$9</definedName>
    <definedName function="false" hidden="true" localSheetId="2" name="_xlnm._FilterDatabase" vbProcedure="false">SITUACION_GENERAL!$A$1:$E$10</definedName>
    <definedName function="false" hidden="true" localSheetId="5" name="_xlnm._FilterDatabase" vbProcedure="false">ZONAS_IMPACTO!$A$1:$K$6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Píxeles sobre la lámina exportada (2001 × 1125) de la carpeta laminas/. Lámina 1.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Nivel interpretado por el color de la barra de cada recuadro y la leyenda Alerta naranja / Alerta roja de la lámina 2.</t>
        </r>
      </text>
    </comment>
    <comment ref="H2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H3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H4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H5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H6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J2" authorId="0">
      <text>
        <r>
          <rPr>
            <sz val="10"/>
            <rFont val="Arial"/>
            <family val="2"/>
          </rPr>
          <t xml:space="preserve">Píxeles sobre la lámina exportada (2001 × 1125) de la carpeta laminas/. Lámina 2: (px_x, px_y) = rótulo del cantón; (px_x_alerta, px_y_alerta) = triángulo de alerta.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2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 Sector rural: ubicación no verificada.</t>
        </r>
      </text>
    </comment>
    <comment ref="J3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 Sector rural: ubicación no verificada.</t>
        </r>
      </text>
    </comment>
    <comment ref="J4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 Sector rural: ubicación no verificada.</t>
        </r>
      </text>
    </comment>
    <comment ref="J5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 Sector rural: ubicación no verificada.</t>
        </r>
      </text>
    </comment>
    <comment ref="J6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 Sector rural: ubicación no verificada.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E3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E4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E5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E6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E7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E8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  <comment ref="E9" authorId="0">
      <text>
        <r>
          <rPr>
            <sz val="10"/>
            <rFont val="Arial"/>
            <family val="2"/>
          </rPr>
          <t xml:space="preserve">Coordenada geográfica APROXIMADA (la presentación no trae coordenadas). Verificar antes de presentar.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La lámina 6 muestra 04 camiones HOWO + 02 camiones 3.5 t.</t>
        </r>
      </text>
    </comment>
  </commentList>
</comments>
</file>

<file path=xl/sharedStrings.xml><?xml version="1.0" encoding="utf-8"?>
<sst xmlns="http://schemas.openxmlformats.org/spreadsheetml/2006/main" count="627" uniqueCount="426">
  <si>
    <t xml:space="preserve">SITUACIÓN N.º 3 – 11 BCB «GALÁPAGOS» · Chimborazo · Base de datos para mapa interactivo</t>
  </si>
  <si>
    <t xml:space="preserve">Hoja</t>
  </si>
  <si>
    <t xml:space="preserve">Contenido / uso en el mapa</t>
  </si>
  <si>
    <t xml:space="preserve">DIAPOSITIVAS</t>
  </si>
  <si>
    <t xml:space="preserve">Índice de las 13 láminas: título, contenido y archivo de imagen en la carpeta laminas/.</t>
  </si>
  <si>
    <t xml:space="preserve">SITUACION_GENERAL</t>
  </si>
  <si>
    <t xml:space="preserve">Cifras clave del evento (96 horas, 707 personas, corredores E487 y E35, alerta roja) y las 5 fases de respuesta.</t>
  </si>
  <si>
    <t xml:space="preserve">JURISDICCION</t>
  </si>
  <si>
    <t xml:space="preserve">Los 26 cantones del mapa de jurisdicción (Bolívar, Chimborazo, Tungurahua) con su posición en la lámina 1.</t>
  </si>
  <si>
    <t xml:space="preserve">CANTONES_AFECTADOS</t>
  </si>
  <si>
    <t xml:space="preserve">1 fila = 1 marcador. Los 5 cantones con alerta (lámina 2): evento, alerta, unidad responsable, lat/lon y píxeles.</t>
  </si>
  <si>
    <t xml:space="preserve">ZONAS_IMPACTO</t>
  </si>
  <si>
    <t xml:space="preserve">Sectores y ejes viales afectados: tipología, estado y prioridad táctica (lámina 4).</t>
  </si>
  <si>
    <t xml:space="preserve">POBLACION_AISLADA</t>
  </si>
  <si>
    <t xml:space="preserve">Parroquias aisladas con familias y personas (lámina 8). Totales con fórmulas.</t>
  </si>
  <si>
    <t xml:space="preserve">PERSONAL_MILITAR</t>
  </si>
  <si>
    <t xml:space="preserve">Puesto de mando y unidades con efectivos y eje de responsabilidad (lámina 5). Total con fórmula.</t>
  </si>
  <si>
    <t xml:space="preserve">MEDIOS</t>
  </si>
  <si>
    <t xml:space="preserve">Medios de la 11 BCB y maquinaria civil / interinstitucional (lámina 6).</t>
  </si>
  <si>
    <t xml:space="preserve">INSTITUCIONES</t>
  </si>
  <si>
    <t xml:space="preserve">Red de coordinación del Puesto de Mando 11BCB (lámina 7) y personal de cada institución.</t>
  </si>
  <si>
    <t xml:space="preserve">LINEAS_ACCION</t>
  </si>
  <si>
    <t xml:space="preserve">Búsqueda y rescate, asistencia humanitaria y seguridad territorial (láminas 9–11).</t>
  </si>
  <si>
    <t xml:space="preserve">OPERACIONES_INST</t>
  </si>
  <si>
    <t xml:space="preserve">Operaciones de SNGR, MIT/GADs, ECU 911, MSP y Cruz Roja (lámina 12).</t>
  </si>
  <si>
    <t xml:space="preserve">CONCLUSIONES</t>
  </si>
  <si>
    <t xml:space="preserve">Conclusión y recomendaciones (lámina 13).</t>
  </si>
  <si>
    <t xml:space="preserve">SITIOS_REFERENCIA</t>
  </si>
  <si>
    <t xml:space="preserve">Parroquias, sectores y centros de salud nombrados en el texto, con coordenadas aproximadas.</t>
  </si>
  <si>
    <t xml:space="preserve">PANELES_LAMINA2</t>
  </si>
  <si>
    <t xml:space="preserve">Recuadros de la lámina 2 (x, y, ancho, alto) para hacerlos clicables sobre la imagen.</t>
  </si>
  <si>
    <t xml:space="preserve">GRAFICAS</t>
  </si>
  <si>
    <t xml:space="preserve">Tablas resumen con gráficas listas (efectivos por unidad, población aislada, prioridades, medios).</t>
  </si>
  <si>
    <t xml:space="preserve">RESUMEN</t>
  </si>
  <si>
    <t xml:space="preserve">Totales calculados y verificación contra las cifras de las láminas.</t>
  </si>
  <si>
    <t xml:space="preserve">OBSERVACIONES</t>
  </si>
  <si>
    <t xml:space="preserve">Interpretaciones y datos sin verificar.</t>
  </si>
  <si>
    <t xml:space="preserve">Convenciones</t>
  </si>
  <si>
    <t xml:space="preserve">Texto azul = dato transcrito de la presentación (editable). Negro = fórmula. lat/lon en grados decimales WGS84; px_x/px_y en píxeles de las láminas exportadas (2001 × 1125).</t>
  </si>
  <si>
    <t xml:space="preserve">Dos modos de mapa</t>
  </si>
  <si>
    <t xml:space="preserve">1) Sobre la lámina: usa px_x / px_y con laminas/Diapositiva_02.png (o la 01 para la jurisdicción). 2) Mapa real (Leaflet): usa lat / lon, que son APROXIMADAS.</t>
  </si>
  <si>
    <t xml:space="preserve">Unir tablas</t>
  </si>
  <si>
    <t xml:space="preserve">Clave común: canton. CANTONES_AFECTADOS se une con ZONAS_IMPACTO, POBLACION_AISLADA, PERSONAL_MILITAR y SITIOS_REFERENCIA por esa columna.</t>
  </si>
  <si>
    <t xml:space="preserve">n</t>
  </si>
  <si>
    <t xml:space="preserve">titulo</t>
  </si>
  <si>
    <t xml:space="preserve">contenido</t>
  </si>
  <si>
    <t xml:space="preserve">hoja_excel</t>
  </si>
  <si>
    <t xml:space="preserve">archivo_imagen</t>
  </si>
  <si>
    <t xml:space="preserve">Jurisdicción de la 11 BCB «Galápagos»</t>
  </si>
  <si>
    <t xml:space="preserve">Mapa de cantones de Bolívar, Chimborazo y Tungurahua.</t>
  </si>
  <si>
    <t xml:space="preserve">Diapositiva_01.png</t>
  </si>
  <si>
    <t xml:space="preserve">Cantones afectados</t>
  </si>
  <si>
    <t xml:space="preserve">Mapa de Chimborazo con 5 alertas y resumen por grupos de cantones.</t>
  </si>
  <si>
    <t xml:space="preserve">Diapositiva_02.png</t>
  </si>
  <si>
    <t xml:space="preserve">Eventos múltiples simultáneos</t>
  </si>
  <si>
    <t xml:space="preserve">96 horas de lluvia, 707 personas aisladas, corredores E487 y E35 cortados; alerta roja y 5 fases.</t>
  </si>
  <si>
    <t xml:space="preserve">Diapositiva_03.png</t>
  </si>
  <si>
    <t xml:space="preserve">Zonas de impacto y tipologías de riesgo</t>
  </si>
  <si>
    <t xml:space="preserve">5 sectores / ejes viales con tipología, estado y prioridad.</t>
  </si>
  <si>
    <t xml:space="preserve">Diapositiva_04.png</t>
  </si>
  <si>
    <t xml:space="preserve">Personal militar empleado</t>
  </si>
  <si>
    <t xml:space="preserve">Puesto de mando, GCB-32, ERS-11 y Fuerza de Reacción: 323 efectivos.</t>
  </si>
  <si>
    <t xml:space="preserve">Diapositiva_05.png</t>
  </si>
  <si>
    <t xml:space="preserve">Medios de las instituciones empleados</t>
  </si>
  <si>
    <t xml:space="preserve">Camiones de la 11 BCB y maquinaria civil / interinstitucional.</t>
  </si>
  <si>
    <t xml:space="preserve">Diapositiva_06.png</t>
  </si>
  <si>
    <t xml:space="preserve">Instituciones empleadas</t>
  </si>
  <si>
    <t xml:space="preserve">Red de coordinación alrededor del Puesto de Mando 11BCB.</t>
  </si>
  <si>
    <t xml:space="preserve">Diapositiva_07.png</t>
  </si>
  <si>
    <t xml:space="preserve">Alojamientos temporales (AT)</t>
  </si>
  <si>
    <t xml:space="preserve">Población aislada en Pungalá, Punín y Licán: 273 familias; seguridad militar de los AT.</t>
  </si>
  <si>
    <t xml:space="preserve">Diapositiva_08.png</t>
  </si>
  <si>
    <t xml:space="preserve">Búsqueda, salvamento y evacuación</t>
  </si>
  <si>
    <t xml:space="preserve">Rescate con Bomberos y evacuación segura con ECO.</t>
  </si>
  <si>
    <t xml:space="preserve">Diapositiva_09.png</t>
  </si>
  <si>
    <t xml:space="preserve">Asistencia humanitaria y logística</t>
  </si>
  <si>
    <t xml:space="preserve">Evaluación, provisión, transporte táctico y distribución segura.</t>
  </si>
  <si>
    <t xml:space="preserve">Diapositiva_10.png</t>
  </si>
  <si>
    <t xml:space="preserve">Seguridad y control territorial</t>
  </si>
  <si>
    <t xml:space="preserve">Centros de salud y corredores E487 y E35.</t>
  </si>
  <si>
    <t xml:space="preserve">Diapositiva_11.png</t>
  </si>
  <si>
    <t xml:space="preserve">Operaciones de las instituciones</t>
  </si>
  <si>
    <t xml:space="preserve">EVIN/EDAN, rehabilitación y escombros, monitoreo y salud.</t>
  </si>
  <si>
    <t xml:space="preserve">Diapositiva_12.png</t>
  </si>
  <si>
    <t xml:space="preserve">Conclusiones y recomendaciones</t>
  </si>
  <si>
    <t xml:space="preserve">Capacidad civil sobrepasada; recomendaciones al COE Nacional y a las unidades.</t>
  </si>
  <si>
    <t xml:space="preserve">Diapositiva_13.png</t>
  </si>
  <si>
    <t xml:space="preserve">tipo</t>
  </si>
  <si>
    <t xml:space="preserve">concepto</t>
  </si>
  <si>
    <t xml:space="preserve">valor</t>
  </si>
  <si>
    <t xml:space="preserve">unidad</t>
  </si>
  <si>
    <t xml:space="preserve">detalle</t>
  </si>
  <si>
    <t xml:space="preserve">indicador</t>
  </si>
  <si>
    <t xml:space="preserve">Duración de precipitaciones</t>
  </si>
  <si>
    <t xml:space="preserve">96</t>
  </si>
  <si>
    <t xml:space="preserve">horas</t>
  </si>
  <si>
    <t xml:space="preserve">Precipitaciones continuas y saturación crítica de suelos.</t>
  </si>
  <si>
    <t xml:space="preserve">Personas aisladas</t>
  </si>
  <si>
    <t xml:space="preserve">707</t>
  </si>
  <si>
    <t xml:space="preserve">personas</t>
  </si>
  <si>
    <t xml:space="preserve">Zonas rurales: Pungalá, Punín, Licán.</t>
  </si>
  <si>
    <t xml:space="preserve">Corredores cortados</t>
  </si>
  <si>
    <t xml:space="preserve">E487 y E35</t>
  </si>
  <si>
    <t xml:space="preserve">Ruptura total de conectividad vial en el centro del país.</t>
  </si>
  <si>
    <t xml:space="preserve">Nivel de alerta</t>
  </si>
  <si>
    <t xml:space="preserve">ALERTA ROJA</t>
  </si>
  <si>
    <t xml:space="preserve">Capacidad civil sobrepasada.</t>
  </si>
  <si>
    <t xml:space="preserve">fase</t>
  </si>
  <si>
    <t xml:space="preserve">Fase 1</t>
  </si>
  <si>
    <t xml:space="preserve">Evaluación EVIN/EDAN</t>
  </si>
  <si>
    <t xml:space="preserve">Fase 2</t>
  </si>
  <si>
    <t xml:space="preserve">Búsqueda y rescate</t>
  </si>
  <si>
    <t xml:space="preserve">Fase 3</t>
  </si>
  <si>
    <t xml:space="preserve">Evacuación segura</t>
  </si>
  <si>
    <t xml:space="preserve">Fase 4</t>
  </si>
  <si>
    <t xml:space="preserve">Asistencia logística</t>
  </si>
  <si>
    <t xml:space="preserve">Fase 5</t>
  </si>
  <si>
    <t xml:space="preserve">Habilitación vial</t>
  </si>
  <si>
    <t xml:space="preserve">provincia</t>
  </si>
  <si>
    <t xml:space="preserve">canton</t>
  </si>
  <si>
    <t xml:space="preserve">px_x</t>
  </si>
  <si>
    <t xml:space="preserve">px_y</t>
  </si>
  <si>
    <t xml:space="preserve">afectado</t>
  </si>
  <si>
    <t xml:space="preserve">observacion</t>
  </si>
  <si>
    <t xml:space="preserve">Bolívar</t>
  </si>
  <si>
    <t xml:space="preserve">Las Naves</t>
  </si>
  <si>
    <t xml:space="preserve">NO</t>
  </si>
  <si>
    <t xml:space="preserve">Echeandía</t>
  </si>
  <si>
    <t xml:space="preserve">Guaranda</t>
  </si>
  <si>
    <t xml:space="preserve">Caluma</t>
  </si>
  <si>
    <t xml:space="preserve">Chimbo</t>
  </si>
  <si>
    <t xml:space="preserve">San Miguel</t>
  </si>
  <si>
    <t xml:space="preserve">Chillanes</t>
  </si>
  <si>
    <t xml:space="preserve">Chimborazo</t>
  </si>
  <si>
    <t xml:space="preserve">Guano</t>
  </si>
  <si>
    <t xml:space="preserve">Penipe</t>
  </si>
  <si>
    <t xml:space="preserve">Riobamba</t>
  </si>
  <si>
    <t xml:space="preserve">SI</t>
  </si>
  <si>
    <t xml:space="preserve">Chambo</t>
  </si>
  <si>
    <t xml:space="preserve">Colta</t>
  </si>
  <si>
    <t xml:space="preserve">Pallatanga</t>
  </si>
  <si>
    <t xml:space="preserve">Guamote</t>
  </si>
  <si>
    <t xml:space="preserve">Cumandá</t>
  </si>
  <si>
    <t xml:space="preserve">Chunchi</t>
  </si>
  <si>
    <t xml:space="preserve">Alausí</t>
  </si>
  <si>
    <t xml:space="preserve">Tungurahua</t>
  </si>
  <si>
    <t xml:space="preserve">Ambato</t>
  </si>
  <si>
    <t xml:space="preserve">Aparece con trama en el mapa (posible exclusión de la jurisdicción)</t>
  </si>
  <si>
    <t xml:space="preserve">Píllaro</t>
  </si>
  <si>
    <t xml:space="preserve">Patate</t>
  </si>
  <si>
    <t xml:space="preserve">Pelileo</t>
  </si>
  <si>
    <t xml:space="preserve">Tisaleo</t>
  </si>
  <si>
    <t xml:space="preserve">Cevallos</t>
  </si>
  <si>
    <t xml:space="preserve">Mocha</t>
  </si>
  <si>
    <t xml:space="preserve">Quero</t>
  </si>
  <si>
    <t xml:space="preserve">Baños</t>
  </si>
  <si>
    <t xml:space="preserve">Cantones por provincia</t>
  </si>
  <si>
    <t xml:space="preserve">Total cantones</t>
  </si>
  <si>
    <t xml:space="preserve">grupo_lamina</t>
  </si>
  <si>
    <t xml:space="preserve">tipo_evento</t>
  </si>
  <si>
    <t xml:space="preserve">descripcion</t>
  </si>
  <si>
    <t xml:space="preserve">nivel_alerta</t>
  </si>
  <si>
    <t xml:space="preserve">color_hex</t>
  </si>
  <si>
    <t xml:space="preserve">unidad_responsable</t>
  </si>
  <si>
    <t xml:space="preserve">lat</t>
  </si>
  <si>
    <t xml:space="preserve">lon</t>
  </si>
  <si>
    <t xml:space="preserve">px_x_alerta</t>
  </si>
  <si>
    <t xml:space="preserve">px_y_alerta</t>
  </si>
  <si>
    <t xml:space="preserve">icono</t>
  </si>
  <si>
    <t xml:space="preserve">Inundaciones</t>
  </si>
  <si>
    <t xml:space="preserve">Inundaciones severas en parroquias rurales (Pungalá, Punín, Licán). Aislamiento poblacional y afectación agrícola crítica en Licto.</t>
  </si>
  <si>
    <t xml:space="preserve">Sin nivel indicado (recuadro azul)</t>
  </si>
  <si>
    <t xml:space="preserve">#1E5BD8</t>
  </si>
  <si>
    <t xml:space="preserve">GCB-32</t>
  </si>
  <si>
    <t xml:space="preserve">flood</t>
  </si>
  <si>
    <t xml:space="preserve">Alausí &amp; Chunchi</t>
  </si>
  <si>
    <t xml:space="preserve">Movimientos en masa</t>
  </si>
  <si>
    <t xml:space="preserve">Movimientos en masa, grietas activas y flujos de lodo. Aislamiento inminente en Siltur y pérdida de caminos vecinales en La Armenia-Huataxí.</t>
  </si>
  <si>
    <t xml:space="preserve">Alerta naranja</t>
  </si>
  <si>
    <t xml:space="preserve">#F2994A</t>
  </si>
  <si>
    <t xml:space="preserve">landslide</t>
  </si>
  <si>
    <t xml:space="preserve">Pallatanga &amp; Cumandá</t>
  </si>
  <si>
    <t xml:space="preserve">Bloqueos viales</t>
  </si>
  <si>
    <t xml:space="preserve">Bloqueos totales por deslizamientos masivos y socavamientos. Pérdida de mesa vial; vehículos pesados y buses retenidos.</t>
  </si>
  <si>
    <t xml:space="preserve">Alerta roja</t>
  </si>
  <si>
    <t xml:space="preserve">#E53935</t>
  </si>
  <si>
    <t xml:space="preserve">ERS-11</t>
  </si>
  <si>
    <t xml:space="preserve">roadblock</t>
  </si>
  <si>
    <t xml:space="preserve">Guamote también está en el eje de responsabilidad del GCB-32 pero no tiene alerta en la lámina 2.</t>
  </si>
  <si>
    <t xml:space="preserve">zona_id</t>
  </si>
  <si>
    <t xml:space="preserve">sector</t>
  </si>
  <si>
    <t xml:space="preserve">eje_vial</t>
  </si>
  <si>
    <t xml:space="preserve">tipologia</t>
  </si>
  <si>
    <t xml:space="preserve">estado_actual</t>
  </si>
  <si>
    <t xml:space="preserve">prioridad</t>
  </si>
  <si>
    <t xml:space="preserve">accion_tactica</t>
  </si>
  <si>
    <t xml:space="preserve">Z1</t>
  </si>
  <si>
    <t xml:space="preserve">Cruz del Hueso</t>
  </si>
  <si>
    <t xml:space="preserve">Deslizamiento de talud</t>
  </si>
  <si>
    <t xml:space="preserve">Bloqueo total</t>
  </si>
  <si>
    <t xml:space="preserve">ALTA</t>
  </si>
  <si>
    <t xml:space="preserve">Paso provisional</t>
  </si>
  <si>
    <t xml:space="preserve">Z2</t>
  </si>
  <si>
    <t xml:space="preserve">Panza Redonda</t>
  </si>
  <si>
    <t xml:space="preserve">Pérdida de mesa vial</t>
  </si>
  <si>
    <t xml:space="preserve">Aislamiento</t>
  </si>
  <si>
    <t xml:space="preserve">Z3</t>
  </si>
  <si>
    <t xml:space="preserve">Puninhuayco</t>
  </si>
  <si>
    <t xml:space="preserve">Aluvión</t>
  </si>
  <si>
    <t xml:space="preserve">Vía interrumpida</t>
  </si>
  <si>
    <t xml:space="preserve">Recuperación rural</t>
  </si>
  <si>
    <t xml:space="preserve">Z4</t>
  </si>
  <si>
    <t xml:space="preserve">Casual – La Esperanza</t>
  </si>
  <si>
    <t xml:space="preserve">E35</t>
  </si>
  <si>
    <t xml:space="preserve">Hundimiento / grietas</t>
  </si>
  <si>
    <t xml:space="preserve">Restricción total</t>
  </si>
  <si>
    <t xml:space="preserve">MEDIA</t>
  </si>
  <si>
    <t xml:space="preserve">Estudio geotécnico</t>
  </si>
  <si>
    <t xml:space="preserve">#F2C94C</t>
  </si>
  <si>
    <t xml:space="preserve">Z5</t>
  </si>
  <si>
    <t xml:space="preserve">Chitaquiz</t>
  </si>
  <si>
    <t xml:space="preserve">Flujo de lodo</t>
  </si>
  <si>
    <t xml:space="preserve">Tránsito restringido</t>
  </si>
  <si>
    <t xml:space="preserve">Limpieza de calzada</t>
  </si>
  <si>
    <t xml:space="preserve">parroquia</t>
  </si>
  <si>
    <t xml:space="preserve">familias</t>
  </si>
  <si>
    <t xml:space="preserve">Pungalá</t>
  </si>
  <si>
    <t xml:space="preserve">Punín</t>
  </si>
  <si>
    <t xml:space="preserve">Licán</t>
  </si>
  <si>
    <t xml:space="preserve">TOTAL</t>
  </si>
  <si>
    <t xml:space="preserve">Total de la lámina 8: 273 familias que requieren refugio o asistencia in situ. Personas: 707 (lámina 3).</t>
  </si>
  <si>
    <t xml:space="preserve">Gestión y seguridad militar (línea COE nivel 2/3): despliegue táctico para la seguridad perimetral de los AT y acompañamiento de MIES y MSP para censo y atención prehospitalaria in situ.</t>
  </si>
  <si>
    <t xml:space="preserve">efectivos</t>
  </si>
  <si>
    <t xml:space="preserve">mision</t>
  </si>
  <si>
    <t xml:space="preserve">cantones</t>
  </si>
  <si>
    <t xml:space="preserve">Puesto de Mando 11BCB «Galápagos»</t>
  </si>
  <si>
    <t xml:space="preserve">Mando</t>
  </si>
  <si>
    <t xml:space="preserve">Mando y control</t>
  </si>
  <si>
    <t xml:space="preserve">Oficiales de enlace</t>
  </si>
  <si>
    <t xml:space="preserve">Enlace con COE e instituciones</t>
  </si>
  <si>
    <t xml:space="preserve">Unidad</t>
  </si>
  <si>
    <t xml:space="preserve">Eje de responsabilidad</t>
  </si>
  <si>
    <t xml:space="preserve">Riobamba, Guamote, Alausí, Chunchi</t>
  </si>
  <si>
    <t xml:space="preserve">Pallatanga, Cumandá</t>
  </si>
  <si>
    <t xml:space="preserve">Fuerza de Reacción</t>
  </si>
  <si>
    <t xml:space="preserve">Reserva</t>
  </si>
  <si>
    <t xml:space="preserve">Disponible para contingencias inmediatas</t>
  </si>
  <si>
    <t xml:space="preserve">TOTAL EMPLEADO</t>
  </si>
  <si>
    <t xml:space="preserve">La lámina 5 reporta un total de 323 efectivos militares.</t>
  </si>
  <si>
    <t xml:space="preserve">grupo</t>
  </si>
  <si>
    <t xml:space="preserve">institucion</t>
  </si>
  <si>
    <t xml:space="preserve">medio</t>
  </si>
  <si>
    <t xml:space="preserve">cantidad</t>
  </si>
  <si>
    <t xml:space="preserve">categoria</t>
  </si>
  <si>
    <t xml:space="preserve">11 BCB</t>
  </si>
  <si>
    <t xml:space="preserve">Camiones tácticos HOWO 4x4 / 6x6</t>
  </si>
  <si>
    <t xml:space="preserve">Vehículo militar</t>
  </si>
  <si>
    <t xml:space="preserve">Movilidad extrema</t>
  </si>
  <si>
    <t xml:space="preserve">Camiones 3.5 t</t>
  </si>
  <si>
    <t xml:space="preserve">Transporte logístico</t>
  </si>
  <si>
    <t xml:space="preserve">Civil / interinstitucional</t>
  </si>
  <si>
    <t xml:space="preserve">MIT</t>
  </si>
  <si>
    <t xml:space="preserve">Máquinas pesadas</t>
  </si>
  <si>
    <t xml:space="preserve">Maquinaria pesada</t>
  </si>
  <si>
    <t xml:space="preserve">Retroexcavadoras, volquetas</t>
  </si>
  <si>
    <t xml:space="preserve">GADs</t>
  </si>
  <si>
    <t xml:space="preserve">Vehículos operativos</t>
  </si>
  <si>
    <t xml:space="preserve">Operativos en la red vial</t>
  </si>
  <si>
    <t xml:space="preserve">GAD Riobamba</t>
  </si>
  <si>
    <t xml:space="preserve">Vacuum (hidrosuccionador)</t>
  </si>
  <si>
    <t xml:space="preserve">Equipo especial</t>
  </si>
  <si>
    <t xml:space="preserve">Para hospitales</t>
  </si>
  <si>
    <t xml:space="preserve">Salud / Bomberos</t>
  </si>
  <si>
    <t xml:space="preserve">Vehículos de rescate</t>
  </si>
  <si>
    <t xml:space="preserve">Rescate y salud</t>
  </si>
  <si>
    <t xml:space="preserve">Ambulancias</t>
  </si>
  <si>
    <t xml:space="preserve">Subtotales</t>
  </si>
  <si>
    <t xml:space="preserve">Medios 11 BCB</t>
  </si>
  <si>
    <t xml:space="preserve">Maquinaria pesada MIT + GADs</t>
  </si>
  <si>
    <t xml:space="preserve">Medios civiles / interinstitucionales</t>
  </si>
  <si>
    <t xml:space="preserve">TOTAL MEDIOS</t>
  </si>
  <si>
    <t xml:space="preserve">Lámina 12: «MIT y GADs operando 32 equipos pesados» = 7 + 25. Lámina 9: 04 vehículos militares desplegados en trochas y rutas alternas.</t>
  </si>
  <si>
    <t xml:space="preserve">nivel</t>
  </si>
  <si>
    <t xml:space="preserve">rol</t>
  </si>
  <si>
    <t xml:space="preserve">personal</t>
  </si>
  <si>
    <t xml:space="preserve">unidad_personal</t>
  </si>
  <si>
    <t xml:space="preserve">Puesto de Mando 11BCB</t>
  </si>
  <si>
    <t xml:space="preserve">Centro de coordinación (8 oficiales de enlace)</t>
  </si>
  <si>
    <t xml:space="preserve">COE Provincial Chimborazo</t>
  </si>
  <si>
    <t xml:space="preserve">Coordinación</t>
  </si>
  <si>
    <t xml:space="preserve">Coordinación provincial</t>
  </si>
  <si>
    <t xml:space="preserve">6 COEs cantonales</t>
  </si>
  <si>
    <t xml:space="preserve">Coordinación cantonal</t>
  </si>
  <si>
    <t xml:space="preserve">ECU 911</t>
  </si>
  <si>
    <t xml:space="preserve">Canaliza llamadas masivas</t>
  </si>
  <si>
    <t xml:space="preserve">PMU</t>
  </si>
  <si>
    <t xml:space="preserve">Puesto de mando unificado</t>
  </si>
  <si>
    <t xml:space="preserve">Policía Nacional</t>
  </si>
  <si>
    <t xml:space="preserve">Apoyo</t>
  </si>
  <si>
    <t xml:space="preserve">Control vial; cierres intercantonales en corredores E487 y E35</t>
  </si>
  <si>
    <t xml:space="preserve">Bomberos</t>
  </si>
  <si>
    <t xml:space="preserve">Búsqueda y rescate (liderazgo operativo)</t>
  </si>
  <si>
    <t xml:space="preserve">SNGR</t>
  </si>
  <si>
    <t xml:space="preserve">Fichas EVIN / EDAN en 8 zonas críticas</t>
  </si>
  <si>
    <t xml:space="preserve">técnicos</t>
  </si>
  <si>
    <t xml:space="preserve">MIT / GADs</t>
  </si>
  <si>
    <t xml:space="preserve">Maquinaria pesada (32 equipos)</t>
  </si>
  <si>
    <t xml:space="preserve">MDH / MIES</t>
  </si>
  <si>
    <t xml:space="preserve">Kits de ayuda; censo en AT</t>
  </si>
  <si>
    <t xml:space="preserve">MAGAP</t>
  </si>
  <si>
    <t xml:space="preserve">Insumos agropecuarios para Licto y parroquias rurales</t>
  </si>
  <si>
    <t xml:space="preserve">MSP / Cruz Roja</t>
  </si>
  <si>
    <t xml:space="preserve">Atención médica; red de salud</t>
  </si>
  <si>
    <t xml:space="preserve">profesionales</t>
  </si>
  <si>
    <t xml:space="preserve">Personal institucional indicado</t>
  </si>
  <si>
    <t xml:space="preserve">Personal civil e institucional que la presentación cuantifica (sin contar los 323 efectivos militares).</t>
  </si>
  <si>
    <t xml:space="preserve">linea</t>
  </si>
  <si>
    <t xml:space="preserve">componente</t>
  </si>
  <si>
    <t xml:space="preserve">diapositiva</t>
  </si>
  <si>
    <t xml:space="preserve">Operaciones de rescate</t>
  </si>
  <si>
    <t xml:space="preserve">Liderazgo operativo del Cuerpo de Bomberos (30 efectivos) apoyado por Fuerza Terrestre. Prioridad 1: Panza Redonda y La Armenia-Huataxí.</t>
  </si>
  <si>
    <t xml:space="preserve">Empleo de Equipos de Combate (ECO) para transporte seguro de aislados, con prioridad a grupos vulnerables hacia alojamientos temporales.</t>
  </si>
  <si>
    <t xml:space="preserve">Medios</t>
  </si>
  <si>
    <t xml:space="preserve">04 vehículos militares desplegados en trochas y rutas alternas coordinadas.</t>
  </si>
  <si>
    <t xml:space="preserve">1. Evaluación</t>
  </si>
  <si>
    <t xml:space="preserve">Levantamiento de fichas EVIN/EDAN por 10 técnicos SNGR en 8 zonas críticas.</t>
  </si>
  <si>
    <t xml:space="preserve">2. Provisión</t>
  </si>
  <si>
    <t xml:space="preserve">Armado de kits (MIES) e insumos agropecuarios (MAGAP) para Licto y parroquias rurales.</t>
  </si>
  <si>
    <t xml:space="preserve">3. Transporte táctico (11BCB)</t>
  </si>
  <si>
    <t xml:space="preserve">Despliegue de camiones militares (3.5 t) para atravesar zonas anegadas e intransitables para vehículos civiles.</t>
  </si>
  <si>
    <t xml:space="preserve">4. Distribución segura</t>
  </si>
  <si>
    <t xml:space="preserve">40 efectivos militares brindan seguridad de área durante la entrega a 273 familias para evitar desorden.</t>
  </si>
  <si>
    <t xml:space="preserve">Centros de salud</t>
  </si>
  <si>
    <t xml:space="preserve">Seguridad perimetral y despeje urgente de accesos anegados en Centros Tipo C ESPOCH–Lizarzaburu y San Antonio. Garantizar corredores para ambulancias.</t>
  </si>
  <si>
    <t xml:space="preserve">Corredores E487 y E35</t>
  </si>
  <si>
    <t xml:space="preserve">Policía Nacional (60 efectivos) establece cierres intercantonales. Vehículos pesados retenidos; prohibición total de paso en sectores inestables.</t>
  </si>
  <si>
    <t xml:space="preserve">operacion</t>
  </si>
  <si>
    <t xml:space="preserve">alerta</t>
  </si>
  <si>
    <t xml:space="preserve">Evaluación inicial (EVIN/EDAN)</t>
  </si>
  <si>
    <t xml:space="preserve">Despliega 10 técnicos territoriales evaluando 8 zonas cero simultáneas (Cruz del Hueso, Pungalá, etc.).</t>
  </si>
  <si>
    <t xml:space="preserve">Rehabilitación y escombros</t>
  </si>
  <si>
    <t xml:space="preserve">MIT y GADs</t>
  </si>
  <si>
    <t xml:space="preserve">Operan 32 equipos pesados en los corredores E487 y E35.</t>
  </si>
  <si>
    <t xml:space="preserve">ALERTA: capacidad civil de despeje geotécnico sobrepasada.</t>
  </si>
  <si>
    <t xml:space="preserve">Monitoreo estratégico y salud</t>
  </si>
  <si>
    <t xml:space="preserve">Canaliza llamadas masivas.</t>
  </si>
  <si>
    <t xml:space="preserve">MSP y Cruz Roja</t>
  </si>
  <si>
    <t xml:space="preserve">20 profesionales aseguran la red de salud pese a los accesos anegados.</t>
  </si>
  <si>
    <t xml:space="preserve">dirigido_a</t>
  </si>
  <si>
    <t xml:space="preserve">texto</t>
  </si>
  <si>
    <t xml:space="preserve">Conclusión</t>
  </si>
  <si>
    <t xml:space="preserve">La simultaneidad de eventos (movimientos en masa y pérdida de vías) ha sobrepasado las capacidades de respuesta civil y maquinaria pesada del COE Provincial.</t>
  </si>
  <si>
    <t xml:space="preserve">Recomendación 1</t>
  </si>
  <si>
    <t xml:space="preserve">COE Nacional</t>
  </si>
  <si>
    <t xml:space="preserve">Formalizar de inmediato la asignación complementaria de equipo pesado del MIT para habilitar de forma segura Cruz del Hueso, Chaguarpata y Siltur.</t>
  </si>
  <si>
    <t xml:space="preserve">Recomendación 2</t>
  </si>
  <si>
    <t xml:space="preserve">Unidades GCB 32 / ERS 11</t>
  </si>
  <si>
    <t xml:space="preserve">Ejecutar apertura urgente de trochas y caminos vecinales junto a SNGR en Panza Redonda y La Armenia-Huataxí.</t>
  </si>
  <si>
    <t xml:space="preserve">Prioridad</t>
  </si>
  <si>
    <t xml:space="preserve">Garantizar abastecimiento logístico y evacuación médica de poblados totalmente aislados.</t>
  </si>
  <si>
    <t xml:space="preserve">sitio</t>
  </si>
  <si>
    <t xml:space="preserve">relevancia</t>
  </si>
  <si>
    <t xml:space="preserve">Licto</t>
  </si>
  <si>
    <t xml:space="preserve">Parroquia</t>
  </si>
  <si>
    <t xml:space="preserve">Afectación agrícola crítica</t>
  </si>
  <si>
    <t xml:space="preserve">Siltur</t>
  </si>
  <si>
    <t xml:space="preserve">Sector</t>
  </si>
  <si>
    <t xml:space="preserve">Aislamiento inminente</t>
  </si>
  <si>
    <t xml:space="preserve">La Armenia – Huataxí</t>
  </si>
  <si>
    <t xml:space="preserve">Pérdida de caminos vecinales; prioridad 1 de rescate</t>
  </si>
  <si>
    <t xml:space="preserve">Chaguarpata</t>
  </si>
  <si>
    <t xml:space="preserve">Habilitación con equipo pesado del MIT (recomendación)</t>
  </si>
  <si>
    <t xml:space="preserve">Centro de Salud Tipo C ESPOCH – Lizarzaburu</t>
  </si>
  <si>
    <t xml:space="preserve">Centro de salud</t>
  </si>
  <si>
    <t xml:space="preserve">Seguridad perimetral y despeje de accesos</t>
  </si>
  <si>
    <t xml:space="preserve">Centro de Salud Tipo C San Antonio</t>
  </si>
  <si>
    <t xml:space="preserve">Corredor E487</t>
  </si>
  <si>
    <t xml:space="preserve">Eje vial</t>
  </si>
  <si>
    <t xml:space="preserve">Ruptura de conectividad; cierres intercantonales</t>
  </si>
  <si>
    <t xml:space="preserve">Corredor E35</t>
  </si>
  <si>
    <t xml:space="preserve">Los corredores E487 y E35 se dibujan mejor con su trazado real de OpenStreetMap.</t>
  </si>
  <si>
    <t xml:space="preserve">panel_id</t>
  </si>
  <si>
    <t xml:space="preserve">x</t>
  </si>
  <si>
    <t xml:space="preserve">y</t>
  </si>
  <si>
    <t xml:space="preserve">ancho</t>
  </si>
  <si>
    <t xml:space="preserve">alto</t>
  </si>
  <si>
    <t xml:space="preserve">cantones_relacionados</t>
  </si>
  <si>
    <t xml:space="preserve">panel_riobamba</t>
  </si>
  <si>
    <t xml:space="preserve">panel_alausi_chunchi</t>
  </si>
  <si>
    <t xml:space="preserve">Alausí,Chunchi</t>
  </si>
  <si>
    <t xml:space="preserve">panel_pallatanga_cumanda</t>
  </si>
  <si>
    <t xml:space="preserve">Pallatanga,Cumandá</t>
  </si>
  <si>
    <t xml:space="preserve">leyenda_alertas</t>
  </si>
  <si>
    <t xml:space="preserve">Alerta naranja / Alerta roja</t>
  </si>
  <si>
    <t xml:space="preserve">RESUMEN DE LA SITUACIÓN N.º 3</t>
  </si>
  <si>
    <t xml:space="preserve">valor_calculado</t>
  </si>
  <si>
    <t xml:space="preserve">valor_en_laminas</t>
  </si>
  <si>
    <t xml:space="preserve">verificacion</t>
  </si>
  <si>
    <t xml:space="preserve">Efectivos militares empleados</t>
  </si>
  <si>
    <t xml:space="preserve">Familias aisladas / en AT</t>
  </si>
  <si>
    <t xml:space="preserve">Equipos pesados MIT + GADs</t>
  </si>
  <si>
    <t xml:space="preserve">Medios de la 11 BCB</t>
  </si>
  <si>
    <t xml:space="preserve">Cantones con alerta</t>
  </si>
  <si>
    <t xml:space="preserve">Zonas de impacto con prioridad ALTA</t>
  </si>
  <si>
    <t xml:space="preserve">Zonas de impacto con prioridad MEDIA</t>
  </si>
  <si>
    <t xml:space="preserve">TABLAS Y GRÁFICAS PARA EL MAPA INTERACTIVO</t>
  </si>
  <si>
    <t xml:space="preserve">Efectivos</t>
  </si>
  <si>
    <t xml:space="preserve">Familias</t>
  </si>
  <si>
    <t xml:space="preserve">Personas</t>
  </si>
  <si>
    <t xml:space="preserve">Zonas</t>
  </si>
  <si>
    <t xml:space="preserve">Medio</t>
  </si>
  <si>
    <t xml:space="preserve">Cantidad</t>
  </si>
  <si>
    <t xml:space="preserve">Institución</t>
  </si>
  <si>
    <t xml:space="preserve">Personal</t>
  </si>
  <si>
    <t xml:space="preserve">tema</t>
  </si>
  <si>
    <t xml:space="preserve">Alertas</t>
  </si>
  <si>
    <t xml:space="preserve">El nivel de alerta de cada cantón se interpretó por el color de su recuadro en la lámina 2: Pallatanga y Cumandá en rojo, Alausí y Chunchi en naranja. Riobamba aparece en azul, sin nivel indicado.</t>
  </si>
  <si>
    <t xml:space="preserve">Coordenadas</t>
  </si>
  <si>
    <t xml:space="preserve">La presentación no trae coordenadas. Las de cantones y parroquias son de sus cabeceras; las de sectores rurales (Cruz del Hueso, Panza Redonda, Puninhuayco, Siltur, La Armenia-Huataxí, Chaguarpata, Casual-La Esperanza, Chitaquiz) son estimaciones y deben verificarse.</t>
  </si>
  <si>
    <t xml:space="preserve">Jurisdicción</t>
  </si>
  <si>
    <t xml:space="preserve">Ambato aparece con trama en la lámina 1; se interpreta como posible exclusión de la jurisdicción.</t>
  </si>
  <si>
    <t xml:space="preserve">Vehículos</t>
  </si>
  <si>
    <t xml:space="preserve">La lámina 9 dice «04 vehículos militares» y dibuja 3 camiones y 3 ambulancias.</t>
  </si>
  <si>
    <t xml:space="preserve">En la lámina 6 el texto del recuadro del MIT está parcialmente cubierto; se leyó «MIT / 7 máquinas pesadas (retroexcavadoras, volquetas)».</t>
  </si>
  <si>
    <t xml:space="preserve">Totales</t>
  </si>
  <si>
    <t xml:space="preserve">Todos los totales de la presentación coinciden con las sumas: 323 efectivos, 273 familias, 707 personas y 32 equipos pesados.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</si>
</sst>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B254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3"/>
      <color rgb="FF0B254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6D4C41"/>
      <rgbColor rgb="FFFFFFCC"/>
      <rgbColor rgb="FFCCFFFF"/>
      <rgbColor rgb="FF660066"/>
      <rgbColor rgb="FFFF8080"/>
      <rgbColor rgb="FF1E5B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2C94C"/>
      <rgbColor rgb="FFF2994A"/>
      <rgbColor rgb="FFE53935"/>
      <rgbColor rgb="FF4F81BD"/>
      <rgbColor rgb="FF9AA5B1"/>
      <rgbColor rgb="FF0B2545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Efectivos militares por unidad (total 323)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GRAFICAS!B3</c:f>
              <c:strCache>
                <c:ptCount val="1"/>
                <c:pt idx="0">
                  <c:v>Efectivos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2e7d32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GRAFICAS!$A$4:$A$8</c:f>
              <c:strCache>
                <c:ptCount val="5"/>
                <c:pt idx="0">
                  <c:v>Puesto de Mando 11BCB «Galápagos»</c:v>
                </c:pt>
                <c:pt idx="1">
                  <c:v>Oficiales de enlace</c:v>
                </c:pt>
                <c:pt idx="2">
                  <c:v>GCB-32</c:v>
                </c:pt>
                <c:pt idx="3">
                  <c:v>ERS-11</c:v>
                </c:pt>
                <c:pt idx="4">
                  <c:v>Fuerza de Reacción</c:v>
                </c:pt>
              </c:strCache>
            </c:strRef>
          </c:cat>
          <c:val>
            <c:numRef>
              <c:f>GRAFICAS!$B$4:$B$8</c:f>
              <c:numCache>
                <c:formatCode>General</c:formatCode>
                <c:ptCount val="5"/>
                <c:pt idx="0">
                  <c:v>15</c:v>
                </c:pt>
                <c:pt idx="1">
                  <c:v>8</c:v>
                </c:pt>
                <c:pt idx="2">
                  <c:v>140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</c:ser>
        <c:gapWidth val="150"/>
        <c:overlap val="0"/>
        <c:axId val="89669992"/>
        <c:axId val="49601450"/>
      </c:barChart>
      <c:catAx>
        <c:axId val="8966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01450"/>
        <c:crosses val="autoZero"/>
        <c:auto val="1"/>
        <c:lblAlgn val="ctr"/>
        <c:lblOffset val="100"/>
        <c:noMultiLvlLbl val="0"/>
      </c:catAx>
      <c:valAx>
        <c:axId val="49601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Efectivos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699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Población aislada por parroquia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GRAFICAS!B22</c:f>
              <c:strCache>
                <c:ptCount val="1"/>
                <c:pt idx="0">
                  <c:v>Familias</c:v>
                </c:pt>
              </c:strCache>
            </c:strRef>
          </c:tx>
          <c:spPr>
            <a:solidFill>
              <a:srgbClr val="f2994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GRAFICAS!$A$23:$A$25</c:f>
              <c:strCache>
                <c:ptCount val="3"/>
                <c:pt idx="0">
                  <c:v>Pungalá</c:v>
                </c:pt>
                <c:pt idx="1">
                  <c:v>Punín</c:v>
                </c:pt>
                <c:pt idx="2">
                  <c:v>Licán</c:v>
                </c:pt>
              </c:strCache>
            </c:strRef>
          </c:cat>
          <c:val>
            <c:numRef>
              <c:f>GRAFICAS!$B$23:$B$25</c:f>
              <c:numCache>
                <c:formatCode>General</c:formatCode>
                <c:ptCount val="3"/>
                <c:pt idx="0">
                  <c:v>150</c:v>
                </c:pt>
                <c:pt idx="1">
                  <c:v>87</c:v>
                </c:pt>
                <c:pt idx="2">
                  <c:v>36</c:v>
                </c:pt>
              </c:numCache>
            </c:numRef>
          </c:val>
        </c:ser>
        <c:ser>
          <c:idx val="1"/>
          <c:order val="1"/>
          <c:tx>
            <c:strRef>
              <c:f>GRAFICAS!C22</c:f>
              <c:strCache>
                <c:ptCount val="1"/>
                <c:pt idx="0">
                  <c:v>Personas</c:v>
                </c:pt>
              </c:strCache>
            </c:strRef>
          </c:tx>
          <c:spPr>
            <a:solidFill>
              <a:srgbClr val="1e5bd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GRAFICAS!$A$23:$A$25</c:f>
              <c:strCache>
                <c:ptCount val="3"/>
                <c:pt idx="0">
                  <c:v>Pungalá</c:v>
                </c:pt>
                <c:pt idx="1">
                  <c:v>Punín</c:v>
                </c:pt>
                <c:pt idx="2">
                  <c:v>Licán</c:v>
                </c:pt>
              </c:strCache>
            </c:strRef>
          </c:cat>
          <c:val>
            <c:numRef>
              <c:f>GRAFICAS!$C$23:$C$25</c:f>
              <c:numCache>
                <c:formatCode>General</c:formatCode>
                <c:ptCount val="3"/>
                <c:pt idx="0">
                  <c:v>380</c:v>
                </c:pt>
                <c:pt idx="1">
                  <c:v>213</c:v>
                </c:pt>
                <c:pt idx="2">
                  <c:v>114</c:v>
                </c:pt>
              </c:numCache>
            </c:numRef>
          </c:val>
        </c:ser>
        <c:gapWidth val="150"/>
        <c:overlap val="0"/>
        <c:axId val="50615788"/>
        <c:axId val="62493076"/>
      </c:barChart>
      <c:catAx>
        <c:axId val="50615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93076"/>
        <c:crosses val="autoZero"/>
        <c:auto val="1"/>
        <c:lblAlgn val="ctr"/>
        <c:lblOffset val="100"/>
        <c:noMultiLvlLbl val="0"/>
      </c:catAx>
      <c:valAx>
        <c:axId val="62493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157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Zonas de impacto por prioridad táctica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GRAFICAS!B41</c:f>
              <c:strCache>
                <c:ptCount val="1"/>
                <c:pt idx="0">
                  <c:v>Zonas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539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2c94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GRAFICAS!$A$42:$A$43</c:f>
              <c:strCache>
                <c:ptCount val="2"/>
                <c:pt idx="0">
                  <c:v>ALTA</c:v>
                </c:pt>
                <c:pt idx="1">
                  <c:v>MEDIA</c:v>
                </c:pt>
              </c:strCache>
            </c:strRef>
          </c:cat>
          <c:val>
            <c:numRef>
              <c:f>GRAFICAS!$B$42:$B$43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Medios empleados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GRAFICAS!B60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6d4c41"/>
            </a:solidFill>
            <a:ln w="0">
              <a:solidFill>
                <a:srgbClr val="6d4c4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GRAFICAS!$A$61:$A$67</c:f>
              <c:strCache>
                <c:ptCount val="7"/>
                <c:pt idx="0">
                  <c:v>11 BCB – Camiones tácticos HOWO 4x4 / 6x6</c:v>
                </c:pt>
                <c:pt idx="1">
                  <c:v>11 BCB – Camiones 3.5 t</c:v>
                </c:pt>
                <c:pt idx="2">
                  <c:v>MIT – Máquinas pesadas</c:v>
                </c:pt>
                <c:pt idx="3">
                  <c:v>GADs – Vehículos operativos</c:v>
                </c:pt>
                <c:pt idx="4">
                  <c:v>GAD Riobamba – Vacuum (hidrosuccionador)</c:v>
                </c:pt>
                <c:pt idx="5">
                  <c:v>Salud / Bomberos – Vehículos de rescate</c:v>
                </c:pt>
                <c:pt idx="6">
                  <c:v>Salud / Bomberos – Ambulancias</c:v>
                </c:pt>
              </c:strCache>
            </c:strRef>
          </c:cat>
          <c:val>
            <c:numRef>
              <c:f>GRAFICAS!$B$61:$B$67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25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</c:ser>
        <c:gapWidth val="150"/>
        <c:overlap val="0"/>
        <c:axId val="15255541"/>
        <c:axId val="73436174"/>
      </c:barChart>
      <c:catAx>
        <c:axId val="15255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36174"/>
        <c:crosses val="autoZero"/>
        <c:auto val="1"/>
        <c:lblAlgn val="ctr"/>
        <c:lblOffset val="100"/>
        <c:noMultiLvlLbl val="0"/>
      </c:catAx>
      <c:valAx>
        <c:axId val="73436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555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Personal institucional en terreno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GRAFICAS!B79</c:f>
              <c:strCache>
                <c:ptCount val="1"/>
                <c:pt idx="0">
                  <c:v>Personal</c:v>
                </c:pt>
              </c:strCache>
            </c:strRef>
          </c:tx>
          <c:spPr>
            <a:solidFill>
              <a:srgbClr val="0b2545"/>
            </a:solidFill>
            <a:ln w="0">
              <a:solidFill>
                <a:srgbClr val="0b2545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GRAFICAS!$A$80:$A$83</c:f>
              <c:strCache>
                <c:ptCount val="4"/>
                <c:pt idx="0">
                  <c:v>Policía Nacional</c:v>
                </c:pt>
                <c:pt idx="1">
                  <c:v>Bomberos</c:v>
                </c:pt>
                <c:pt idx="2">
                  <c:v>SNGR</c:v>
                </c:pt>
                <c:pt idx="3">
                  <c:v>MSP / Cruz Roja</c:v>
                </c:pt>
              </c:strCache>
            </c:strRef>
          </c:cat>
          <c:val>
            <c:numRef>
              <c:f>GRAFICAS!$B$80:$B$83</c:f>
              <c:numCache>
                <c:formatCode>General</c:formatCode>
                <c:ptCount val="4"/>
                <c:pt idx="0">
                  <c:v>60</c:v>
                </c:pt>
                <c:pt idx="1">
                  <c:v>30</c:v>
                </c:pt>
                <c:pt idx="2">
                  <c:v>10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80207157"/>
        <c:axId val="98184251"/>
      </c:barChart>
      <c:catAx>
        <c:axId val="80207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84251"/>
        <c:crosses val="autoZero"/>
        <c:auto val="1"/>
        <c:lblAlgn val="ctr"/>
        <c:lblOffset val="100"/>
        <c:noMultiLvlLbl val="0"/>
      </c:catAx>
      <c:valAx>
        <c:axId val="98184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07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13</xdr:col>
      <xdr:colOff>507600</xdr:colOff>
      <xdr:row>16</xdr:row>
      <xdr:rowOff>18000</xdr:rowOff>
    </xdr:to>
    <xdr:graphicFrame>
      <xdr:nvGraphicFramePr>
        <xdr:cNvPr id="0" name="Chart 1"/>
        <xdr:cNvGraphicFramePr/>
      </xdr:nvGraphicFramePr>
      <xdr:xfrm>
        <a:off x="589788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176040</xdr:rowOff>
    </xdr:from>
    <xdr:to>
      <xdr:col>13</xdr:col>
      <xdr:colOff>507600</xdr:colOff>
      <xdr:row>35</xdr:row>
      <xdr:rowOff>18360</xdr:rowOff>
    </xdr:to>
    <xdr:graphicFrame>
      <xdr:nvGraphicFramePr>
        <xdr:cNvPr id="1" name="Chart 2"/>
        <xdr:cNvGraphicFramePr/>
      </xdr:nvGraphicFramePr>
      <xdr:xfrm>
        <a:off x="589788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39</xdr:row>
      <xdr:rowOff>176040</xdr:rowOff>
    </xdr:from>
    <xdr:to>
      <xdr:col>12</xdr:col>
      <xdr:colOff>39240</xdr:colOff>
      <xdr:row>54</xdr:row>
      <xdr:rowOff>18000</xdr:rowOff>
    </xdr:to>
    <xdr:graphicFrame>
      <xdr:nvGraphicFramePr>
        <xdr:cNvPr id="2" name="Chart 3"/>
        <xdr:cNvGraphicFramePr/>
      </xdr:nvGraphicFramePr>
      <xdr:xfrm>
        <a:off x="5897880" y="762012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58</xdr:row>
      <xdr:rowOff>176040</xdr:rowOff>
    </xdr:from>
    <xdr:to>
      <xdr:col>13</xdr:col>
      <xdr:colOff>507600</xdr:colOff>
      <xdr:row>73</xdr:row>
      <xdr:rowOff>18000</xdr:rowOff>
    </xdr:to>
    <xdr:graphicFrame>
      <xdr:nvGraphicFramePr>
        <xdr:cNvPr id="3" name="Chart 4"/>
        <xdr:cNvGraphicFramePr/>
      </xdr:nvGraphicFramePr>
      <xdr:xfrm>
        <a:off x="5897880" y="11239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77</xdr:row>
      <xdr:rowOff>176040</xdr:rowOff>
    </xdr:from>
    <xdr:to>
      <xdr:col>13</xdr:col>
      <xdr:colOff>507600</xdr:colOff>
      <xdr:row>92</xdr:row>
      <xdr:rowOff>18000</xdr:rowOff>
    </xdr:to>
    <xdr:graphicFrame>
      <xdr:nvGraphicFramePr>
        <xdr:cNvPr id="4" name="Chart 5"/>
        <xdr:cNvGraphicFramePr/>
      </xdr:nvGraphicFramePr>
      <xdr:xfrm>
        <a:off x="5897880" y="1485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15" hidden="false" customHeight="false" outlineLevel="0" collapsed="false">
      <c r="A8" s="4" t="s">
        <v>11</v>
      </c>
      <c r="B8" s="5" t="s">
        <v>12</v>
      </c>
    </row>
    <row r="9" customFormat="false" ht="15" hidden="false" customHeight="false" outlineLevel="0" collapsed="false">
      <c r="A9" s="4" t="s">
        <v>13</v>
      </c>
      <c r="B9" s="5" t="s">
        <v>14</v>
      </c>
    </row>
    <row r="10" customFormat="false" ht="15" hidden="false" customHeight="false" outlineLevel="0" collapsed="false">
      <c r="A10" s="4" t="s">
        <v>15</v>
      </c>
      <c r="B10" s="5" t="s">
        <v>16</v>
      </c>
    </row>
    <row r="11" customFormat="false" ht="15" hidden="false" customHeight="false" outlineLevel="0" collapsed="false">
      <c r="A11" s="4" t="s">
        <v>17</v>
      </c>
      <c r="B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</row>
    <row r="13" customFormat="false" ht="15" hidden="false" customHeight="false" outlineLevel="0" collapsed="false">
      <c r="A13" s="4" t="s">
        <v>21</v>
      </c>
      <c r="B13" s="5" t="s">
        <v>22</v>
      </c>
    </row>
    <row r="14" customFormat="false" ht="15" hidden="false" customHeight="false" outlineLevel="0" collapsed="false">
      <c r="A14" s="4" t="s">
        <v>23</v>
      </c>
      <c r="B14" s="5" t="s">
        <v>24</v>
      </c>
    </row>
    <row r="15" customFormat="false" ht="15" hidden="false" customHeight="false" outlineLevel="0" collapsed="false">
      <c r="A15" s="4" t="s">
        <v>25</v>
      </c>
      <c r="B15" s="5" t="s">
        <v>26</v>
      </c>
    </row>
    <row r="16" customFormat="false" ht="15" hidden="false" customHeight="false" outlineLevel="0" collapsed="false">
      <c r="A16" s="4" t="s">
        <v>27</v>
      </c>
      <c r="B16" s="5" t="s">
        <v>28</v>
      </c>
    </row>
    <row r="17" customFormat="false" ht="15" hidden="false" customHeight="false" outlineLevel="0" collapsed="false">
      <c r="A17" s="4" t="s">
        <v>29</v>
      </c>
      <c r="B17" s="5" t="s">
        <v>30</v>
      </c>
    </row>
    <row r="18" customFormat="false" ht="15" hidden="false" customHeight="false" outlineLevel="0" collapsed="false">
      <c r="A18" s="4" t="s">
        <v>31</v>
      </c>
      <c r="B18" s="5" t="s">
        <v>32</v>
      </c>
    </row>
    <row r="19" customFormat="false" ht="15" hidden="false" customHeight="false" outlineLevel="0" collapsed="false">
      <c r="A19" s="4" t="s">
        <v>33</v>
      </c>
      <c r="B19" s="5" t="s">
        <v>34</v>
      </c>
    </row>
    <row r="20" customFormat="false" ht="15" hidden="false" customHeight="false" outlineLevel="0" collapsed="false">
      <c r="A20" s="4" t="s">
        <v>35</v>
      </c>
      <c r="B20" s="5" t="s">
        <v>36</v>
      </c>
    </row>
    <row r="21" customFormat="false" ht="15" hidden="false" customHeight="false" outlineLevel="0" collapsed="false">
      <c r="A21" s="4"/>
      <c r="B21" s="5"/>
    </row>
    <row r="22" customFormat="false" ht="26.85" hidden="false" customHeight="false" outlineLevel="0" collapsed="false">
      <c r="A22" s="6" t="s">
        <v>37</v>
      </c>
      <c r="B22" s="5" t="s">
        <v>38</v>
      </c>
    </row>
    <row r="23" customFormat="false" ht="26.85" hidden="false" customHeight="false" outlineLevel="0" collapsed="false">
      <c r="A23" s="6" t="s">
        <v>39</v>
      </c>
      <c r="B23" s="5" t="s">
        <v>40</v>
      </c>
    </row>
    <row r="24" customFormat="false" ht="26.85" hidden="false" customHeight="false" outlineLevel="0" collapsed="false">
      <c r="A24" s="6" t="s">
        <v>41</v>
      </c>
      <c r="B24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5"/>
    <col collapsed="false" customWidth="true" hidden="false" outlineLevel="0" max="5" min="4" style="0" width="22"/>
  </cols>
  <sheetData>
    <row r="1" customFormat="false" ht="31.5" hidden="false" customHeight="true" outlineLevel="0" collapsed="false">
      <c r="A1" s="7" t="s">
        <v>43</v>
      </c>
      <c r="B1" s="7" t="s">
        <v>44</v>
      </c>
      <c r="C1" s="7" t="s">
        <v>45</v>
      </c>
      <c r="D1" s="7" t="s">
        <v>46</v>
      </c>
      <c r="E1" s="7" t="s">
        <v>47</v>
      </c>
    </row>
    <row r="2" customFormat="false" ht="15" hidden="false" customHeight="false" outlineLevel="0" collapsed="false">
      <c r="A2" s="8" t="n">
        <v>1</v>
      </c>
      <c r="B2" s="8" t="s">
        <v>48</v>
      </c>
      <c r="C2" s="8" t="s">
        <v>49</v>
      </c>
      <c r="D2" s="8" t="s">
        <v>7</v>
      </c>
      <c r="E2" s="8" t="s">
        <v>50</v>
      </c>
    </row>
    <row r="3" customFormat="false" ht="26.85" hidden="false" customHeight="false" outlineLevel="0" collapsed="false">
      <c r="A3" s="8" t="n">
        <v>2</v>
      </c>
      <c r="B3" s="8" t="s">
        <v>51</v>
      </c>
      <c r="C3" s="8" t="s">
        <v>52</v>
      </c>
      <c r="D3" s="8" t="s">
        <v>9</v>
      </c>
      <c r="E3" s="8" t="s">
        <v>53</v>
      </c>
    </row>
    <row r="4" customFormat="false" ht="26.85" hidden="false" customHeight="false" outlineLevel="0" collapsed="false">
      <c r="A4" s="8" t="n">
        <v>3</v>
      </c>
      <c r="B4" s="8" t="s">
        <v>54</v>
      </c>
      <c r="C4" s="8" t="s">
        <v>55</v>
      </c>
      <c r="D4" s="8" t="s">
        <v>5</v>
      </c>
      <c r="E4" s="8" t="s">
        <v>56</v>
      </c>
    </row>
    <row r="5" customFormat="false" ht="15" hidden="false" customHeight="false" outlineLevel="0" collapsed="false">
      <c r="A5" s="8" t="n">
        <v>4</v>
      </c>
      <c r="B5" s="8" t="s">
        <v>57</v>
      </c>
      <c r="C5" s="8" t="s">
        <v>58</v>
      </c>
      <c r="D5" s="8" t="s">
        <v>11</v>
      </c>
      <c r="E5" s="8" t="s">
        <v>59</v>
      </c>
    </row>
    <row r="6" customFormat="false" ht="15" hidden="false" customHeight="false" outlineLevel="0" collapsed="false">
      <c r="A6" s="8" t="n">
        <v>5</v>
      </c>
      <c r="B6" s="8" t="s">
        <v>60</v>
      </c>
      <c r="C6" s="8" t="s">
        <v>61</v>
      </c>
      <c r="D6" s="8" t="s">
        <v>15</v>
      </c>
      <c r="E6" s="8" t="s">
        <v>62</v>
      </c>
    </row>
    <row r="7" customFormat="false" ht="15" hidden="false" customHeight="false" outlineLevel="0" collapsed="false">
      <c r="A7" s="8" t="n">
        <v>6</v>
      </c>
      <c r="B7" s="8" t="s">
        <v>63</v>
      </c>
      <c r="C7" s="8" t="s">
        <v>64</v>
      </c>
      <c r="D7" s="8" t="s">
        <v>17</v>
      </c>
      <c r="E7" s="8" t="s">
        <v>65</v>
      </c>
    </row>
    <row r="8" customFormat="false" ht="15" hidden="false" customHeight="false" outlineLevel="0" collapsed="false">
      <c r="A8" s="8" t="n">
        <v>7</v>
      </c>
      <c r="B8" s="8" t="s">
        <v>66</v>
      </c>
      <c r="C8" s="8" t="s">
        <v>67</v>
      </c>
      <c r="D8" s="8" t="s">
        <v>19</v>
      </c>
      <c r="E8" s="8" t="s">
        <v>68</v>
      </c>
    </row>
    <row r="9" customFormat="false" ht="26.85" hidden="false" customHeight="false" outlineLevel="0" collapsed="false">
      <c r="A9" s="8" t="n">
        <v>8</v>
      </c>
      <c r="B9" s="8" t="s">
        <v>69</v>
      </c>
      <c r="C9" s="8" t="s">
        <v>70</v>
      </c>
      <c r="D9" s="8" t="s">
        <v>13</v>
      </c>
      <c r="E9" s="8" t="s">
        <v>71</v>
      </c>
    </row>
    <row r="10" customFormat="false" ht="15" hidden="false" customHeight="false" outlineLevel="0" collapsed="false">
      <c r="A10" s="8" t="n">
        <v>9</v>
      </c>
      <c r="B10" s="8" t="s">
        <v>72</v>
      </c>
      <c r="C10" s="8" t="s">
        <v>73</v>
      </c>
      <c r="D10" s="8" t="s">
        <v>21</v>
      </c>
      <c r="E10" s="8" t="s">
        <v>74</v>
      </c>
    </row>
    <row r="11" customFormat="false" ht="15" hidden="false" customHeight="false" outlineLevel="0" collapsed="false">
      <c r="A11" s="8" t="n">
        <v>10</v>
      </c>
      <c r="B11" s="8" t="s">
        <v>75</v>
      </c>
      <c r="C11" s="8" t="s">
        <v>76</v>
      </c>
      <c r="D11" s="8" t="s">
        <v>21</v>
      </c>
      <c r="E11" s="8" t="s">
        <v>77</v>
      </c>
    </row>
    <row r="12" customFormat="false" ht="15" hidden="false" customHeight="false" outlineLevel="0" collapsed="false">
      <c r="A12" s="8" t="n">
        <v>11</v>
      </c>
      <c r="B12" s="8" t="s">
        <v>78</v>
      </c>
      <c r="C12" s="8" t="s">
        <v>79</v>
      </c>
      <c r="D12" s="8" t="s">
        <v>21</v>
      </c>
      <c r="E12" s="8" t="s">
        <v>80</v>
      </c>
    </row>
    <row r="13" customFormat="false" ht="15" hidden="false" customHeight="false" outlineLevel="0" collapsed="false">
      <c r="A13" s="8" t="n">
        <v>12</v>
      </c>
      <c r="B13" s="8" t="s">
        <v>81</v>
      </c>
      <c r="C13" s="8" t="s">
        <v>82</v>
      </c>
      <c r="D13" s="8" t="s">
        <v>23</v>
      </c>
      <c r="E13" s="8" t="s">
        <v>83</v>
      </c>
    </row>
    <row r="14" customFormat="false" ht="26.85" hidden="false" customHeight="false" outlineLevel="0" collapsed="false">
      <c r="A14" s="8" t="n">
        <v>13</v>
      </c>
      <c r="B14" s="8" t="s">
        <v>84</v>
      </c>
      <c r="C14" s="8" t="s">
        <v>85</v>
      </c>
      <c r="D14" s="8" t="s">
        <v>25</v>
      </c>
      <c r="E14" s="8" t="s">
        <v>86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7" t="s">
        <v>87</v>
      </c>
      <c r="B1" s="7" t="s">
        <v>88</v>
      </c>
      <c r="C1" s="7" t="s">
        <v>89</v>
      </c>
      <c r="D1" s="7" t="s">
        <v>90</v>
      </c>
      <c r="E1" s="7" t="s">
        <v>91</v>
      </c>
    </row>
    <row r="2" customFormat="false" ht="15" hidden="false" customHeight="false" outlineLevel="0" collapsed="false">
      <c r="A2" s="8" t="s">
        <v>92</v>
      </c>
      <c r="B2" s="8" t="s">
        <v>93</v>
      </c>
      <c r="C2" s="8" t="s">
        <v>94</v>
      </c>
      <c r="D2" s="8" t="s">
        <v>95</v>
      </c>
      <c r="E2" s="8" t="s">
        <v>96</v>
      </c>
    </row>
    <row r="3" customFormat="false" ht="15" hidden="false" customHeight="false" outlineLevel="0" collapsed="false">
      <c r="A3" s="8" t="s">
        <v>92</v>
      </c>
      <c r="B3" s="8" t="s">
        <v>97</v>
      </c>
      <c r="C3" s="8" t="s">
        <v>98</v>
      </c>
      <c r="D3" s="8" t="s">
        <v>99</v>
      </c>
      <c r="E3" s="8" t="s">
        <v>100</v>
      </c>
    </row>
    <row r="4" customFormat="false" ht="15" hidden="false" customHeight="false" outlineLevel="0" collapsed="false">
      <c r="A4" s="8" t="s">
        <v>92</v>
      </c>
      <c r="B4" s="8" t="s">
        <v>101</v>
      </c>
      <c r="C4" s="8" t="s">
        <v>102</v>
      </c>
      <c r="D4" s="8"/>
      <c r="E4" s="8" t="s">
        <v>103</v>
      </c>
    </row>
    <row r="5" customFormat="false" ht="15" hidden="false" customHeight="false" outlineLevel="0" collapsed="false">
      <c r="A5" s="8" t="s">
        <v>92</v>
      </c>
      <c r="B5" s="8" t="s">
        <v>104</v>
      </c>
      <c r="C5" s="8" t="s">
        <v>105</v>
      </c>
      <c r="D5" s="8"/>
      <c r="E5" s="8" t="s">
        <v>106</v>
      </c>
    </row>
    <row r="6" customFormat="false" ht="26.85" hidden="false" customHeight="false" outlineLevel="0" collapsed="false">
      <c r="A6" s="8" t="s">
        <v>107</v>
      </c>
      <c r="B6" s="8" t="s">
        <v>108</v>
      </c>
      <c r="C6" s="8" t="s">
        <v>109</v>
      </c>
      <c r="D6" s="8"/>
      <c r="E6" s="8"/>
    </row>
    <row r="7" customFormat="false" ht="15" hidden="false" customHeight="false" outlineLevel="0" collapsed="false">
      <c r="A7" s="8" t="s">
        <v>107</v>
      </c>
      <c r="B7" s="8" t="s">
        <v>110</v>
      </c>
      <c r="C7" s="8" t="s">
        <v>111</v>
      </c>
      <c r="D7" s="8"/>
      <c r="E7" s="8"/>
    </row>
    <row r="8" customFormat="false" ht="15" hidden="false" customHeight="false" outlineLevel="0" collapsed="false">
      <c r="A8" s="8" t="s">
        <v>107</v>
      </c>
      <c r="B8" s="8" t="s">
        <v>112</v>
      </c>
      <c r="C8" s="8" t="s">
        <v>113</v>
      </c>
      <c r="D8" s="8"/>
      <c r="E8" s="8"/>
    </row>
    <row r="9" customFormat="false" ht="15" hidden="false" customHeight="false" outlineLevel="0" collapsed="false">
      <c r="A9" s="8" t="s">
        <v>107</v>
      </c>
      <c r="B9" s="8" t="s">
        <v>114</v>
      </c>
      <c r="C9" s="8" t="s">
        <v>115</v>
      </c>
      <c r="D9" s="8"/>
      <c r="E9" s="8"/>
    </row>
    <row r="10" customFormat="false" ht="15" hidden="false" customHeight="false" outlineLevel="0" collapsed="false">
      <c r="A10" s="8" t="s">
        <v>107</v>
      </c>
      <c r="B10" s="8" t="s">
        <v>116</v>
      </c>
      <c r="C10" s="8" t="s">
        <v>117</v>
      </c>
      <c r="D10" s="8"/>
      <c r="E10" s="8"/>
    </row>
  </sheetData>
  <autoFilter ref="A1:E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6" min="6" style="0" width="55"/>
  </cols>
  <sheetData>
    <row r="1" customFormat="false" ht="31.5" hidden="false" customHeight="true" outlineLevel="0" collapsed="false">
      <c r="A1" s="7" t="s">
        <v>118</v>
      </c>
      <c r="B1" s="7" t="s">
        <v>119</v>
      </c>
      <c r="C1" s="7" t="s">
        <v>120</v>
      </c>
      <c r="D1" s="7" t="s">
        <v>121</v>
      </c>
      <c r="E1" s="7" t="s">
        <v>122</v>
      </c>
      <c r="F1" s="7" t="s">
        <v>123</v>
      </c>
    </row>
    <row r="2" customFormat="false" ht="15" hidden="false" customHeight="false" outlineLevel="0" collapsed="false">
      <c r="A2" s="8" t="s">
        <v>124</v>
      </c>
      <c r="B2" s="8" t="s">
        <v>125</v>
      </c>
      <c r="C2" s="8" t="n">
        <v>478</v>
      </c>
      <c r="D2" s="8" t="n">
        <v>320</v>
      </c>
      <c r="E2" s="8" t="s">
        <v>126</v>
      </c>
      <c r="F2" s="8"/>
    </row>
    <row r="3" customFormat="false" ht="15" hidden="false" customHeight="false" outlineLevel="0" collapsed="false">
      <c r="A3" s="8" t="s">
        <v>124</v>
      </c>
      <c r="B3" s="8" t="s">
        <v>127</v>
      </c>
      <c r="C3" s="8" t="n">
        <v>482</v>
      </c>
      <c r="D3" s="8" t="n">
        <v>439</v>
      </c>
      <c r="E3" s="8" t="s">
        <v>126</v>
      </c>
      <c r="F3" s="8"/>
    </row>
    <row r="4" customFormat="false" ht="15" hidden="false" customHeight="false" outlineLevel="0" collapsed="false">
      <c r="A4" s="8" t="s">
        <v>124</v>
      </c>
      <c r="B4" s="8" t="s">
        <v>128</v>
      </c>
      <c r="C4" s="8" t="n">
        <v>652</v>
      </c>
      <c r="D4" s="8" t="n">
        <v>405</v>
      </c>
      <c r="E4" s="8" t="s">
        <v>126</v>
      </c>
      <c r="F4" s="8"/>
    </row>
    <row r="5" customFormat="false" ht="15" hidden="false" customHeight="false" outlineLevel="0" collapsed="false">
      <c r="A5" s="8" t="s">
        <v>124</v>
      </c>
      <c r="B5" s="8" t="s">
        <v>129</v>
      </c>
      <c r="C5" s="8" t="n">
        <v>520</v>
      </c>
      <c r="D5" s="8" t="n">
        <v>532</v>
      </c>
      <c r="E5" s="8" t="s">
        <v>126</v>
      </c>
      <c r="F5" s="8"/>
    </row>
    <row r="6" customFormat="false" ht="15" hidden="false" customHeight="false" outlineLevel="0" collapsed="false">
      <c r="A6" s="8" t="s">
        <v>124</v>
      </c>
      <c r="B6" s="8" t="s">
        <v>130</v>
      </c>
      <c r="C6" s="8" t="n">
        <v>552</v>
      </c>
      <c r="D6" s="8" t="n">
        <v>610</v>
      </c>
      <c r="E6" s="8" t="s">
        <v>126</v>
      </c>
      <c r="F6" s="8"/>
    </row>
    <row r="7" customFormat="false" ht="15" hidden="false" customHeight="false" outlineLevel="0" collapsed="false">
      <c r="A7" s="8" t="s">
        <v>124</v>
      </c>
      <c r="B7" s="8" t="s">
        <v>131</v>
      </c>
      <c r="C7" s="8" t="n">
        <v>558</v>
      </c>
      <c r="D7" s="8" t="n">
        <v>712</v>
      </c>
      <c r="E7" s="8" t="s">
        <v>126</v>
      </c>
      <c r="F7" s="8"/>
    </row>
    <row r="8" customFormat="false" ht="15" hidden="false" customHeight="false" outlineLevel="0" collapsed="false">
      <c r="A8" s="8" t="s">
        <v>124</v>
      </c>
      <c r="B8" s="8" t="s">
        <v>132</v>
      </c>
      <c r="C8" s="8" t="n">
        <v>545</v>
      </c>
      <c r="D8" s="8" t="n">
        <v>852</v>
      </c>
      <c r="E8" s="8" t="s">
        <v>126</v>
      </c>
      <c r="F8" s="8"/>
    </row>
    <row r="9" customFormat="false" ht="15" hidden="false" customHeight="false" outlineLevel="0" collapsed="false">
      <c r="A9" s="8" t="s">
        <v>133</v>
      </c>
      <c r="B9" s="8" t="s">
        <v>134</v>
      </c>
      <c r="C9" s="8" t="n">
        <v>937</v>
      </c>
      <c r="D9" s="8" t="n">
        <v>414</v>
      </c>
      <c r="E9" s="8" t="s">
        <v>126</v>
      </c>
      <c r="F9" s="8"/>
    </row>
    <row r="10" customFormat="false" ht="15" hidden="false" customHeight="false" outlineLevel="0" collapsed="false">
      <c r="A10" s="8" t="s">
        <v>133</v>
      </c>
      <c r="B10" s="8" t="s">
        <v>135</v>
      </c>
      <c r="C10" s="8" t="n">
        <v>1066</v>
      </c>
      <c r="D10" s="8" t="n">
        <v>423</v>
      </c>
      <c r="E10" s="8" t="s">
        <v>126</v>
      </c>
      <c r="F10" s="8"/>
    </row>
    <row r="11" customFormat="false" ht="15" hidden="false" customHeight="false" outlineLevel="0" collapsed="false">
      <c r="A11" s="8" t="s">
        <v>133</v>
      </c>
      <c r="B11" s="8" t="s">
        <v>136</v>
      </c>
      <c r="C11" s="8" t="n">
        <v>974</v>
      </c>
      <c r="D11" s="8" t="n">
        <v>490</v>
      </c>
      <c r="E11" s="8" t="s">
        <v>137</v>
      </c>
      <c r="F11" s="8"/>
    </row>
    <row r="12" customFormat="false" ht="15" hidden="false" customHeight="false" outlineLevel="0" collapsed="false">
      <c r="A12" s="8" t="s">
        <v>133</v>
      </c>
      <c r="B12" s="8" t="s">
        <v>138</v>
      </c>
      <c r="C12" s="8" t="n">
        <v>1058</v>
      </c>
      <c r="D12" s="8" t="n">
        <v>551</v>
      </c>
      <c r="E12" s="8" t="s">
        <v>126</v>
      </c>
      <c r="F12" s="8"/>
    </row>
    <row r="13" customFormat="false" ht="15" hidden="false" customHeight="false" outlineLevel="0" collapsed="false">
      <c r="A13" s="8" t="s">
        <v>133</v>
      </c>
      <c r="B13" s="8" t="s">
        <v>139</v>
      </c>
      <c r="C13" s="8" t="n">
        <v>828</v>
      </c>
      <c r="D13" s="8" t="n">
        <v>568</v>
      </c>
      <c r="E13" s="8" t="s">
        <v>126</v>
      </c>
      <c r="F13" s="8"/>
    </row>
    <row r="14" customFormat="false" ht="15" hidden="false" customHeight="false" outlineLevel="0" collapsed="false">
      <c r="A14" s="8" t="s">
        <v>133</v>
      </c>
      <c r="B14" s="8" t="s">
        <v>140</v>
      </c>
      <c r="C14" s="8" t="n">
        <v>797</v>
      </c>
      <c r="D14" s="8" t="n">
        <v>679</v>
      </c>
      <c r="E14" s="8" t="s">
        <v>137</v>
      </c>
      <c r="F14" s="8"/>
    </row>
    <row r="15" customFormat="false" ht="15" hidden="false" customHeight="false" outlineLevel="0" collapsed="false">
      <c r="A15" s="8" t="s">
        <v>133</v>
      </c>
      <c r="B15" s="8" t="s">
        <v>141</v>
      </c>
      <c r="C15" s="8" t="n">
        <v>990</v>
      </c>
      <c r="D15" s="8" t="n">
        <v>675</v>
      </c>
      <c r="E15" s="8" t="s">
        <v>126</v>
      </c>
      <c r="F15" s="8"/>
    </row>
    <row r="16" customFormat="false" ht="15" hidden="false" customHeight="false" outlineLevel="0" collapsed="false">
      <c r="A16" s="8" t="s">
        <v>133</v>
      </c>
      <c r="B16" s="8" t="s">
        <v>142</v>
      </c>
      <c r="C16" s="8" t="n">
        <v>694</v>
      </c>
      <c r="D16" s="8" t="n">
        <v>765</v>
      </c>
      <c r="E16" s="8" t="s">
        <v>137</v>
      </c>
      <c r="F16" s="8"/>
    </row>
    <row r="17" customFormat="false" ht="15" hidden="false" customHeight="false" outlineLevel="0" collapsed="false">
      <c r="A17" s="8" t="s">
        <v>133</v>
      </c>
      <c r="B17" s="8" t="s">
        <v>143</v>
      </c>
      <c r="C17" s="8" t="n">
        <v>764</v>
      </c>
      <c r="D17" s="8" t="n">
        <v>867</v>
      </c>
      <c r="E17" s="8" t="s">
        <v>137</v>
      </c>
      <c r="F17" s="8"/>
    </row>
    <row r="18" customFormat="false" ht="15" hidden="false" customHeight="false" outlineLevel="0" collapsed="false">
      <c r="A18" s="8" t="s">
        <v>133</v>
      </c>
      <c r="B18" s="8" t="s">
        <v>144</v>
      </c>
      <c r="C18" s="8" t="n">
        <v>946</v>
      </c>
      <c r="D18" s="8" t="n">
        <v>866</v>
      </c>
      <c r="E18" s="8" t="s">
        <v>137</v>
      </c>
      <c r="F18" s="8"/>
    </row>
    <row r="19" customFormat="false" ht="26.85" hidden="false" customHeight="false" outlineLevel="0" collapsed="false">
      <c r="A19" s="8" t="s">
        <v>145</v>
      </c>
      <c r="B19" s="8" t="s">
        <v>146</v>
      </c>
      <c r="C19" s="8" t="n">
        <v>1170</v>
      </c>
      <c r="D19" s="8" t="n">
        <v>339</v>
      </c>
      <c r="E19" s="8" t="s">
        <v>126</v>
      </c>
      <c r="F19" s="8" t="s">
        <v>147</v>
      </c>
    </row>
    <row r="20" customFormat="false" ht="15" hidden="false" customHeight="false" outlineLevel="0" collapsed="false">
      <c r="A20" s="8" t="s">
        <v>145</v>
      </c>
      <c r="B20" s="8" t="s">
        <v>148</v>
      </c>
      <c r="C20" s="8" t="n">
        <v>1357</v>
      </c>
      <c r="D20" s="8" t="n">
        <v>271</v>
      </c>
      <c r="E20" s="8" t="s">
        <v>126</v>
      </c>
      <c r="F20" s="8"/>
    </row>
    <row r="21" customFormat="false" ht="15" hidden="false" customHeight="false" outlineLevel="0" collapsed="false">
      <c r="A21" s="8" t="s">
        <v>145</v>
      </c>
      <c r="B21" s="8" t="s">
        <v>149</v>
      </c>
      <c r="C21" s="8" t="n">
        <v>1407</v>
      </c>
      <c r="D21" s="8" t="n">
        <v>400</v>
      </c>
      <c r="E21" s="8" t="s">
        <v>126</v>
      </c>
      <c r="F21" s="8"/>
    </row>
    <row r="22" customFormat="false" ht="15" hidden="false" customHeight="false" outlineLevel="0" collapsed="false">
      <c r="A22" s="8" t="s">
        <v>145</v>
      </c>
      <c r="B22" s="8" t="s">
        <v>150</v>
      </c>
      <c r="C22" s="8" t="n">
        <v>1272</v>
      </c>
      <c r="D22" s="8" t="n">
        <v>432</v>
      </c>
      <c r="E22" s="8" t="s">
        <v>126</v>
      </c>
      <c r="F22" s="8"/>
    </row>
    <row r="23" customFormat="false" ht="15" hidden="false" customHeight="false" outlineLevel="0" collapsed="false">
      <c r="A23" s="8" t="s">
        <v>145</v>
      </c>
      <c r="B23" s="8" t="s">
        <v>151</v>
      </c>
      <c r="C23" s="8" t="n">
        <v>1174</v>
      </c>
      <c r="D23" s="8" t="n">
        <v>492</v>
      </c>
      <c r="E23" s="8" t="s">
        <v>126</v>
      </c>
      <c r="F23" s="8"/>
    </row>
    <row r="24" customFormat="false" ht="15" hidden="false" customHeight="false" outlineLevel="0" collapsed="false">
      <c r="A24" s="8" t="s">
        <v>145</v>
      </c>
      <c r="B24" s="8" t="s">
        <v>152</v>
      </c>
      <c r="C24" s="8" t="n">
        <v>1278</v>
      </c>
      <c r="D24" s="8" t="n">
        <v>510</v>
      </c>
      <c r="E24" s="8" t="s">
        <v>126</v>
      </c>
      <c r="F24" s="8"/>
    </row>
    <row r="25" customFormat="false" ht="15" hidden="false" customHeight="false" outlineLevel="0" collapsed="false">
      <c r="A25" s="8" t="s">
        <v>145</v>
      </c>
      <c r="B25" s="8" t="s">
        <v>153</v>
      </c>
      <c r="C25" s="8" t="n">
        <v>1193</v>
      </c>
      <c r="D25" s="8" t="n">
        <v>576</v>
      </c>
      <c r="E25" s="8" t="s">
        <v>126</v>
      </c>
      <c r="F25" s="8"/>
    </row>
    <row r="26" customFormat="false" ht="15" hidden="false" customHeight="false" outlineLevel="0" collapsed="false">
      <c r="A26" s="8" t="s">
        <v>145</v>
      </c>
      <c r="B26" s="8" t="s">
        <v>154</v>
      </c>
      <c r="C26" s="8" t="n">
        <v>1297</v>
      </c>
      <c r="D26" s="8" t="n">
        <v>599</v>
      </c>
      <c r="E26" s="8" t="s">
        <v>126</v>
      </c>
      <c r="F26" s="8"/>
    </row>
    <row r="27" customFormat="false" ht="15" hidden="false" customHeight="false" outlineLevel="0" collapsed="false">
      <c r="A27" s="8" t="s">
        <v>145</v>
      </c>
      <c r="B27" s="8" t="s">
        <v>155</v>
      </c>
      <c r="C27" s="8" t="n">
        <v>1495</v>
      </c>
      <c r="D27" s="8" t="n">
        <v>510</v>
      </c>
      <c r="E27" s="8" t="s">
        <v>126</v>
      </c>
      <c r="F27" s="8"/>
    </row>
    <row r="28" customFormat="false" ht="15" hidden="false" customHeight="false" outlineLevel="0" collapsed="false">
      <c r="A28" s="9" t="s">
        <v>156</v>
      </c>
    </row>
    <row r="29" customFormat="false" ht="15" hidden="false" customHeight="false" outlineLevel="0" collapsed="false">
      <c r="A29" s="6" t="s">
        <v>124</v>
      </c>
      <c r="B29" s="10" t="n">
        <f aca="false">COUNTIF($A$2:$A$27,A29)</f>
        <v>7</v>
      </c>
    </row>
    <row r="30" customFormat="false" ht="15" hidden="false" customHeight="false" outlineLevel="0" collapsed="false">
      <c r="A30" s="6" t="s">
        <v>133</v>
      </c>
      <c r="B30" s="10" t="n">
        <f aca="false">COUNTIF($A$2:$A$27,A30)</f>
        <v>10</v>
      </c>
    </row>
    <row r="31" customFormat="false" ht="15" hidden="false" customHeight="false" outlineLevel="0" collapsed="false">
      <c r="A31" s="6" t="s">
        <v>145</v>
      </c>
      <c r="B31" s="10" t="n">
        <f aca="false">COUNTIF($A$2:$A$27,A31)</f>
        <v>9</v>
      </c>
    </row>
    <row r="32" customFormat="false" ht="15" hidden="false" customHeight="false" outlineLevel="0" collapsed="false">
      <c r="A32" s="6" t="s">
        <v>157</v>
      </c>
      <c r="B32" s="11" t="n">
        <f aca="false">SUM(B29:B31)</f>
        <v>26</v>
      </c>
    </row>
  </sheetData>
  <autoFilter ref="A1:F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1" min="10" style="0" width="7"/>
    <col collapsed="false" customWidth="true" hidden="false" outlineLevel="0" max="14" min="12" style="0" width="10"/>
  </cols>
  <sheetData>
    <row r="1" customFormat="false" ht="31.5" hidden="false" customHeight="true" outlineLevel="0" collapsed="false">
      <c r="A1" s="7" t="s">
        <v>119</v>
      </c>
      <c r="B1" s="7" t="s">
        <v>158</v>
      </c>
      <c r="C1" s="7" t="s">
        <v>159</v>
      </c>
      <c r="D1" s="7" t="s">
        <v>160</v>
      </c>
      <c r="E1" s="7" t="s">
        <v>161</v>
      </c>
      <c r="F1" s="7" t="s">
        <v>162</v>
      </c>
      <c r="G1" s="7" t="s">
        <v>163</v>
      </c>
      <c r="H1" s="7" t="s">
        <v>164</v>
      </c>
      <c r="I1" s="7" t="s">
        <v>165</v>
      </c>
      <c r="J1" s="7" t="s">
        <v>120</v>
      </c>
      <c r="K1" s="7" t="s">
        <v>121</v>
      </c>
      <c r="L1" s="7" t="s">
        <v>166</v>
      </c>
      <c r="M1" s="7" t="s">
        <v>167</v>
      </c>
      <c r="N1" s="7" t="s">
        <v>168</v>
      </c>
    </row>
    <row r="2" customFormat="false" ht="26.85" hidden="false" customHeight="false" outlineLevel="0" collapsed="false">
      <c r="A2" s="8" t="s">
        <v>136</v>
      </c>
      <c r="B2" s="8" t="s">
        <v>136</v>
      </c>
      <c r="C2" s="8" t="s">
        <v>169</v>
      </c>
      <c r="D2" s="8" t="s">
        <v>170</v>
      </c>
      <c r="E2" s="8" t="s">
        <v>171</v>
      </c>
      <c r="F2" s="8" t="s">
        <v>172</v>
      </c>
      <c r="G2" s="8" t="s">
        <v>173</v>
      </c>
      <c r="H2" s="12" t="n">
        <v>-1.6636</v>
      </c>
      <c r="I2" s="12" t="n">
        <v>-78.6546</v>
      </c>
      <c r="J2" s="8" t="n">
        <v>696</v>
      </c>
      <c r="K2" s="8" t="n">
        <v>497</v>
      </c>
      <c r="L2" s="8" t="n">
        <v>692</v>
      </c>
      <c r="M2" s="8" t="n">
        <v>437</v>
      </c>
      <c r="N2" s="8" t="s">
        <v>174</v>
      </c>
    </row>
    <row r="3" customFormat="false" ht="39.55" hidden="false" customHeight="false" outlineLevel="0" collapsed="false">
      <c r="A3" s="8" t="s">
        <v>144</v>
      </c>
      <c r="B3" s="8" t="s">
        <v>175</v>
      </c>
      <c r="C3" s="8" t="s">
        <v>176</v>
      </c>
      <c r="D3" s="8" t="s">
        <v>177</v>
      </c>
      <c r="E3" s="8" t="s">
        <v>178</v>
      </c>
      <c r="F3" s="8" t="s">
        <v>179</v>
      </c>
      <c r="G3" s="8" t="s">
        <v>173</v>
      </c>
      <c r="H3" s="12" t="n">
        <v>-2.2027</v>
      </c>
      <c r="I3" s="12" t="n">
        <v>-78.8469</v>
      </c>
      <c r="J3" s="8" t="n">
        <v>604</v>
      </c>
      <c r="K3" s="8" t="n">
        <v>768</v>
      </c>
      <c r="L3" s="8" t="n">
        <v>538</v>
      </c>
      <c r="M3" s="8" t="n">
        <v>708</v>
      </c>
      <c r="N3" s="8" t="s">
        <v>180</v>
      </c>
    </row>
    <row r="4" customFormat="false" ht="39.55" hidden="false" customHeight="false" outlineLevel="0" collapsed="false">
      <c r="A4" s="8" t="s">
        <v>143</v>
      </c>
      <c r="B4" s="8" t="s">
        <v>175</v>
      </c>
      <c r="C4" s="8" t="s">
        <v>176</v>
      </c>
      <c r="D4" s="8" t="s">
        <v>177</v>
      </c>
      <c r="E4" s="8" t="s">
        <v>178</v>
      </c>
      <c r="F4" s="8" t="s">
        <v>179</v>
      </c>
      <c r="G4" s="8" t="s">
        <v>173</v>
      </c>
      <c r="H4" s="12" t="n">
        <v>-2.2853</v>
      </c>
      <c r="I4" s="12" t="n">
        <v>-78.9205</v>
      </c>
      <c r="J4" s="8" t="n">
        <v>494</v>
      </c>
      <c r="K4" s="8" t="n">
        <v>881</v>
      </c>
      <c r="L4" s="8" t="n">
        <v>486</v>
      </c>
      <c r="M4" s="8" t="n">
        <v>812</v>
      </c>
      <c r="N4" s="8" t="s">
        <v>180</v>
      </c>
    </row>
    <row r="5" customFormat="false" ht="26.85" hidden="false" customHeight="false" outlineLevel="0" collapsed="false">
      <c r="A5" s="8" t="s">
        <v>140</v>
      </c>
      <c r="B5" s="8" t="s">
        <v>181</v>
      </c>
      <c r="C5" s="8" t="s">
        <v>182</v>
      </c>
      <c r="D5" s="8" t="s">
        <v>183</v>
      </c>
      <c r="E5" s="8" t="s">
        <v>184</v>
      </c>
      <c r="F5" s="8" t="s">
        <v>185</v>
      </c>
      <c r="G5" s="8" t="s">
        <v>186</v>
      </c>
      <c r="H5" s="12" t="n">
        <v>-1.9997</v>
      </c>
      <c r="I5" s="12" t="n">
        <v>-78.9585</v>
      </c>
      <c r="J5" s="8" t="n">
        <v>402</v>
      </c>
      <c r="K5" s="8" t="n">
        <v>615</v>
      </c>
      <c r="L5" s="8" t="n">
        <v>407</v>
      </c>
      <c r="M5" s="8" t="n">
        <v>665</v>
      </c>
      <c r="N5" s="8" t="s">
        <v>187</v>
      </c>
    </row>
    <row r="6" customFormat="false" ht="26.85" hidden="false" customHeight="false" outlineLevel="0" collapsed="false">
      <c r="A6" s="8" t="s">
        <v>142</v>
      </c>
      <c r="B6" s="8" t="s">
        <v>181</v>
      </c>
      <c r="C6" s="8" t="s">
        <v>182</v>
      </c>
      <c r="D6" s="8" t="s">
        <v>183</v>
      </c>
      <c r="E6" s="8" t="s">
        <v>184</v>
      </c>
      <c r="F6" s="8" t="s">
        <v>185</v>
      </c>
      <c r="G6" s="8" t="s">
        <v>186</v>
      </c>
      <c r="H6" s="12" t="n">
        <v>-2.2091</v>
      </c>
      <c r="I6" s="12" t="n">
        <v>-79.1366</v>
      </c>
      <c r="J6" s="8" t="n">
        <v>270</v>
      </c>
      <c r="K6" s="8" t="n">
        <v>742</v>
      </c>
      <c r="L6" s="8" t="n">
        <v>266</v>
      </c>
      <c r="M6" s="8" t="n">
        <v>797</v>
      </c>
      <c r="N6" s="8" t="s">
        <v>187</v>
      </c>
    </row>
    <row r="8" customFormat="false" ht="15" hidden="false" customHeight="false" outlineLevel="0" collapsed="false">
      <c r="A8" s="13" t="s">
        <v>188</v>
      </c>
    </row>
  </sheetData>
  <autoFilter ref="A1:N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1" min="10" style="0" width="9"/>
  </cols>
  <sheetData>
    <row r="1" customFormat="false" ht="31.5" hidden="false" customHeight="true" outlineLevel="0" collapsed="false">
      <c r="A1" s="7" t="s">
        <v>189</v>
      </c>
      <c r="B1" s="7" t="s">
        <v>190</v>
      </c>
      <c r="C1" s="7" t="s">
        <v>119</v>
      </c>
      <c r="D1" s="7" t="s">
        <v>191</v>
      </c>
      <c r="E1" s="7" t="s">
        <v>192</v>
      </c>
      <c r="F1" s="7" t="s">
        <v>193</v>
      </c>
      <c r="G1" s="7" t="s">
        <v>194</v>
      </c>
      <c r="H1" s="7" t="s">
        <v>195</v>
      </c>
      <c r="I1" s="7" t="s">
        <v>162</v>
      </c>
      <c r="J1" s="7" t="s">
        <v>164</v>
      </c>
      <c r="K1" s="7" t="s">
        <v>165</v>
      </c>
    </row>
    <row r="2" customFormat="false" ht="15" hidden="false" customHeight="false" outlineLevel="0" collapsed="false">
      <c r="A2" s="8" t="s">
        <v>196</v>
      </c>
      <c r="B2" s="8" t="s">
        <v>197</v>
      </c>
      <c r="C2" s="8" t="s">
        <v>142</v>
      </c>
      <c r="D2" s="8"/>
      <c r="E2" s="8" t="s">
        <v>198</v>
      </c>
      <c r="F2" s="8" t="s">
        <v>199</v>
      </c>
      <c r="G2" s="8" t="s">
        <v>200</v>
      </c>
      <c r="H2" s="8" t="s">
        <v>201</v>
      </c>
      <c r="I2" s="8" t="s">
        <v>185</v>
      </c>
      <c r="J2" s="12" t="n">
        <v>-2.18</v>
      </c>
      <c r="K2" s="12" t="n">
        <v>-79.05</v>
      </c>
    </row>
    <row r="3" customFormat="false" ht="15" hidden="false" customHeight="false" outlineLevel="0" collapsed="false">
      <c r="A3" s="8" t="s">
        <v>202</v>
      </c>
      <c r="B3" s="8" t="s">
        <v>203</v>
      </c>
      <c r="C3" s="8" t="s">
        <v>140</v>
      </c>
      <c r="D3" s="8"/>
      <c r="E3" s="8" t="s">
        <v>204</v>
      </c>
      <c r="F3" s="8" t="s">
        <v>205</v>
      </c>
      <c r="G3" s="8" t="s">
        <v>200</v>
      </c>
      <c r="H3" s="8" t="s">
        <v>111</v>
      </c>
      <c r="I3" s="8" t="s">
        <v>185</v>
      </c>
      <c r="J3" s="12" t="n">
        <v>-2.02</v>
      </c>
      <c r="K3" s="12" t="n">
        <v>-78.93</v>
      </c>
    </row>
    <row r="4" customFormat="false" ht="15" hidden="false" customHeight="false" outlineLevel="0" collapsed="false">
      <c r="A4" s="8" t="s">
        <v>206</v>
      </c>
      <c r="B4" s="8" t="s">
        <v>207</v>
      </c>
      <c r="C4" s="8" t="s">
        <v>136</v>
      </c>
      <c r="D4" s="8"/>
      <c r="E4" s="8" t="s">
        <v>208</v>
      </c>
      <c r="F4" s="8" t="s">
        <v>209</v>
      </c>
      <c r="G4" s="8" t="s">
        <v>200</v>
      </c>
      <c r="H4" s="8" t="s">
        <v>210</v>
      </c>
      <c r="I4" s="8" t="s">
        <v>185</v>
      </c>
      <c r="J4" s="12" t="n">
        <v>-1.76</v>
      </c>
      <c r="K4" s="12" t="n">
        <v>-78.64</v>
      </c>
    </row>
    <row r="5" customFormat="false" ht="26.85" hidden="false" customHeight="false" outlineLevel="0" collapsed="false">
      <c r="A5" s="8" t="s">
        <v>211</v>
      </c>
      <c r="B5" s="8" t="s">
        <v>212</v>
      </c>
      <c r="C5" s="8"/>
      <c r="D5" s="8" t="s">
        <v>213</v>
      </c>
      <c r="E5" s="8" t="s">
        <v>214</v>
      </c>
      <c r="F5" s="8" t="s">
        <v>215</v>
      </c>
      <c r="G5" s="8" t="s">
        <v>216</v>
      </c>
      <c r="H5" s="8" t="s">
        <v>217</v>
      </c>
      <c r="I5" s="8" t="s">
        <v>218</v>
      </c>
      <c r="J5" s="12" t="n">
        <v>-2.05</v>
      </c>
      <c r="K5" s="12" t="n">
        <v>-78.75</v>
      </c>
    </row>
    <row r="6" customFormat="false" ht="26.85" hidden="false" customHeight="false" outlineLevel="0" collapsed="false">
      <c r="A6" s="8" t="s">
        <v>219</v>
      </c>
      <c r="B6" s="8" t="s">
        <v>220</v>
      </c>
      <c r="C6" s="8"/>
      <c r="D6" s="8" t="s">
        <v>213</v>
      </c>
      <c r="E6" s="8" t="s">
        <v>221</v>
      </c>
      <c r="F6" s="8" t="s">
        <v>222</v>
      </c>
      <c r="G6" s="8" t="s">
        <v>216</v>
      </c>
      <c r="H6" s="8" t="s">
        <v>223</v>
      </c>
      <c r="I6" s="8" t="s">
        <v>218</v>
      </c>
      <c r="J6" s="12" t="n">
        <v>-2.1</v>
      </c>
      <c r="K6" s="12" t="n">
        <v>-78.78</v>
      </c>
    </row>
  </sheetData>
  <autoFilter ref="A1: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6" min="5" style="0" width="9"/>
  </cols>
  <sheetData>
    <row r="1" customFormat="false" ht="31.5" hidden="false" customHeight="true" outlineLevel="0" collapsed="false">
      <c r="A1" s="7" t="s">
        <v>224</v>
      </c>
      <c r="B1" s="7" t="s">
        <v>119</v>
      </c>
      <c r="C1" s="7" t="s">
        <v>225</v>
      </c>
      <c r="D1" s="7" t="s">
        <v>99</v>
      </c>
      <c r="E1" s="7" t="s">
        <v>164</v>
      </c>
      <c r="F1" s="7" t="s">
        <v>165</v>
      </c>
    </row>
    <row r="2" customFormat="false" ht="15" hidden="false" customHeight="false" outlineLevel="0" collapsed="false">
      <c r="A2" s="8" t="s">
        <v>226</v>
      </c>
      <c r="B2" s="8" t="s">
        <v>136</v>
      </c>
      <c r="C2" s="8" t="n">
        <v>150</v>
      </c>
      <c r="D2" s="8" t="n">
        <v>380</v>
      </c>
      <c r="E2" s="8" t="n">
        <v>-1.8167</v>
      </c>
      <c r="F2" s="8" t="n">
        <v>-78.5667</v>
      </c>
    </row>
    <row r="3" customFormat="false" ht="15" hidden="false" customHeight="false" outlineLevel="0" collapsed="false">
      <c r="A3" s="8" t="s">
        <v>227</v>
      </c>
      <c r="B3" s="8" t="s">
        <v>136</v>
      </c>
      <c r="C3" s="8" t="n">
        <v>87</v>
      </c>
      <c r="D3" s="8" t="n">
        <v>213</v>
      </c>
      <c r="E3" s="8" t="n">
        <v>-1.7531</v>
      </c>
      <c r="F3" s="8" t="n">
        <v>-78.6553</v>
      </c>
    </row>
    <row r="4" customFormat="false" ht="15" hidden="false" customHeight="false" outlineLevel="0" collapsed="false">
      <c r="A4" s="8" t="s">
        <v>228</v>
      </c>
      <c r="B4" s="8" t="s">
        <v>136</v>
      </c>
      <c r="C4" s="8" t="n">
        <v>36</v>
      </c>
      <c r="D4" s="8" t="n">
        <v>114</v>
      </c>
      <c r="E4" s="8" t="n">
        <v>-1.6617</v>
      </c>
      <c r="F4" s="8" t="n">
        <v>-78.6967</v>
      </c>
    </row>
    <row r="5" customFormat="false" ht="15" hidden="false" customHeight="false" outlineLevel="0" collapsed="false">
      <c r="A5" s="14" t="s">
        <v>229</v>
      </c>
      <c r="C5" s="11" t="n">
        <f aca="false">SUM(C2:C4)</f>
        <v>273</v>
      </c>
      <c r="D5" s="11" t="n">
        <f aca="false">SUM(D2:D4)</f>
        <v>707</v>
      </c>
    </row>
    <row r="7" customFormat="false" ht="15" hidden="false" customHeight="false" outlineLevel="0" collapsed="false">
      <c r="A7" s="13" t="s">
        <v>230</v>
      </c>
    </row>
    <row r="8" customFormat="false" ht="15" hidden="false" customHeight="false" outlineLevel="0" collapsed="false">
      <c r="A8" s="13" t="s">
        <v>231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40"/>
  </cols>
  <sheetData>
    <row r="1" customFormat="false" ht="31.5" hidden="false" customHeight="true" outlineLevel="0" collapsed="false">
      <c r="A1" s="7" t="s">
        <v>90</v>
      </c>
      <c r="B1" s="7" t="s">
        <v>87</v>
      </c>
      <c r="C1" s="7" t="s">
        <v>232</v>
      </c>
      <c r="D1" s="7" t="s">
        <v>233</v>
      </c>
      <c r="E1" s="7" t="s">
        <v>234</v>
      </c>
    </row>
    <row r="2" customFormat="false" ht="26.85" hidden="false" customHeight="false" outlineLevel="0" collapsed="false">
      <c r="A2" s="8" t="s">
        <v>235</v>
      </c>
      <c r="B2" s="8" t="s">
        <v>236</v>
      </c>
      <c r="C2" s="8" t="n">
        <v>15</v>
      </c>
      <c r="D2" s="8" t="s">
        <v>237</v>
      </c>
      <c r="E2" s="8"/>
    </row>
    <row r="3" customFormat="false" ht="15" hidden="false" customHeight="false" outlineLevel="0" collapsed="false">
      <c r="A3" s="8" t="s">
        <v>238</v>
      </c>
      <c r="B3" s="8" t="s">
        <v>236</v>
      </c>
      <c r="C3" s="8" t="n">
        <v>8</v>
      </c>
      <c r="D3" s="8" t="s">
        <v>239</v>
      </c>
      <c r="E3" s="8"/>
    </row>
    <row r="4" customFormat="false" ht="15" hidden="false" customHeight="false" outlineLevel="0" collapsed="false">
      <c r="A4" s="8" t="s">
        <v>173</v>
      </c>
      <c r="B4" s="8" t="s">
        <v>240</v>
      </c>
      <c r="C4" s="8" t="n">
        <v>140</v>
      </c>
      <c r="D4" s="8" t="s">
        <v>241</v>
      </c>
      <c r="E4" s="8" t="s">
        <v>242</v>
      </c>
    </row>
    <row r="5" customFormat="false" ht="15" hidden="false" customHeight="false" outlineLevel="0" collapsed="false">
      <c r="A5" s="8" t="s">
        <v>186</v>
      </c>
      <c r="B5" s="8" t="s">
        <v>240</v>
      </c>
      <c r="C5" s="8" t="n">
        <v>80</v>
      </c>
      <c r="D5" s="8" t="s">
        <v>241</v>
      </c>
      <c r="E5" s="8" t="s">
        <v>243</v>
      </c>
    </row>
    <row r="6" customFormat="false" ht="15" hidden="false" customHeight="false" outlineLevel="0" collapsed="false">
      <c r="A6" s="8" t="s">
        <v>244</v>
      </c>
      <c r="B6" s="8" t="s">
        <v>245</v>
      </c>
      <c r="C6" s="8" t="n">
        <v>80</v>
      </c>
      <c r="D6" s="8" t="s">
        <v>246</v>
      </c>
      <c r="E6" s="8"/>
    </row>
    <row r="7" customFormat="false" ht="15" hidden="false" customHeight="false" outlineLevel="0" collapsed="false">
      <c r="A7" s="14" t="s">
        <v>247</v>
      </c>
      <c r="C7" s="11" t="n">
        <f aca="false">SUM(C2:C6)</f>
        <v>323</v>
      </c>
    </row>
    <row r="9" customFormat="false" ht="15" hidden="false" customHeight="false" outlineLevel="0" collapsed="false">
      <c r="A9" s="13" t="s">
        <v>248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7" t="s">
        <v>249</v>
      </c>
      <c r="B1" s="7" t="s">
        <v>250</v>
      </c>
      <c r="C1" s="7" t="s">
        <v>251</v>
      </c>
      <c r="D1" s="7" t="s">
        <v>252</v>
      </c>
      <c r="E1" s="7" t="s">
        <v>253</v>
      </c>
      <c r="F1" s="7" t="s">
        <v>91</v>
      </c>
    </row>
    <row r="2" customFormat="false" ht="26.85" hidden="false" customHeight="false" outlineLevel="0" collapsed="false">
      <c r="A2" s="8" t="s">
        <v>254</v>
      </c>
      <c r="B2" s="8" t="s">
        <v>254</v>
      </c>
      <c r="C2" s="8" t="s">
        <v>255</v>
      </c>
      <c r="D2" s="8" t="n">
        <v>4</v>
      </c>
      <c r="E2" s="8" t="s">
        <v>256</v>
      </c>
      <c r="F2" s="8" t="s">
        <v>257</v>
      </c>
    </row>
    <row r="3" customFormat="false" ht="15" hidden="false" customHeight="false" outlineLevel="0" collapsed="false">
      <c r="A3" s="8" t="s">
        <v>254</v>
      </c>
      <c r="B3" s="8" t="s">
        <v>254</v>
      </c>
      <c r="C3" s="8" t="s">
        <v>258</v>
      </c>
      <c r="D3" s="8" t="n">
        <v>2</v>
      </c>
      <c r="E3" s="8" t="s">
        <v>256</v>
      </c>
      <c r="F3" s="8" t="s">
        <v>259</v>
      </c>
    </row>
    <row r="4" customFormat="false" ht="26.85" hidden="false" customHeight="false" outlineLevel="0" collapsed="false">
      <c r="A4" s="8" t="s">
        <v>260</v>
      </c>
      <c r="B4" s="8" t="s">
        <v>261</v>
      </c>
      <c r="C4" s="8" t="s">
        <v>262</v>
      </c>
      <c r="D4" s="8" t="n">
        <v>7</v>
      </c>
      <c r="E4" s="8" t="s">
        <v>263</v>
      </c>
      <c r="F4" s="8" t="s">
        <v>264</v>
      </c>
    </row>
    <row r="5" customFormat="false" ht="26.85" hidden="false" customHeight="false" outlineLevel="0" collapsed="false">
      <c r="A5" s="8" t="s">
        <v>260</v>
      </c>
      <c r="B5" s="8" t="s">
        <v>265</v>
      </c>
      <c r="C5" s="8" t="s">
        <v>266</v>
      </c>
      <c r="D5" s="8" t="n">
        <v>25</v>
      </c>
      <c r="E5" s="8" t="s">
        <v>263</v>
      </c>
      <c r="F5" s="8" t="s">
        <v>267</v>
      </c>
    </row>
    <row r="6" customFormat="false" ht="15" hidden="false" customHeight="false" outlineLevel="0" collapsed="false">
      <c r="A6" s="8" t="s">
        <v>260</v>
      </c>
      <c r="B6" s="8" t="s">
        <v>268</v>
      </c>
      <c r="C6" s="8" t="s">
        <v>269</v>
      </c>
      <c r="D6" s="8" t="n">
        <v>1</v>
      </c>
      <c r="E6" s="8" t="s">
        <v>270</v>
      </c>
      <c r="F6" s="8" t="s">
        <v>271</v>
      </c>
    </row>
    <row r="7" customFormat="false" ht="15" hidden="false" customHeight="false" outlineLevel="0" collapsed="false">
      <c r="A7" s="8" t="s">
        <v>260</v>
      </c>
      <c r="B7" s="8" t="s">
        <v>272</v>
      </c>
      <c r="C7" s="8" t="s">
        <v>273</v>
      </c>
      <c r="D7" s="8" t="n">
        <v>4</v>
      </c>
      <c r="E7" s="8" t="s">
        <v>274</v>
      </c>
      <c r="F7" s="8"/>
    </row>
    <row r="8" customFormat="false" ht="15" hidden="false" customHeight="false" outlineLevel="0" collapsed="false">
      <c r="A8" s="8" t="s">
        <v>260</v>
      </c>
      <c r="B8" s="8" t="s">
        <v>272</v>
      </c>
      <c r="C8" s="8" t="s">
        <v>275</v>
      </c>
      <c r="D8" s="8" t="n">
        <v>2</v>
      </c>
      <c r="E8" s="8" t="s">
        <v>274</v>
      </c>
      <c r="F8" s="8"/>
    </row>
    <row r="10" customFormat="false" ht="15" hidden="false" customHeight="false" outlineLevel="0" collapsed="false">
      <c r="A10" s="9" t="s">
        <v>276</v>
      </c>
    </row>
    <row r="11" customFormat="false" ht="15" hidden="false" customHeight="false" outlineLevel="0" collapsed="false">
      <c r="C11" s="6" t="s">
        <v>277</v>
      </c>
      <c r="D11" s="11" t="n">
        <f aca="false">SUMIFS(D2:D8,A2:A8,"11 BCB")</f>
        <v>6</v>
      </c>
    </row>
    <row r="12" customFormat="false" ht="15" hidden="false" customHeight="false" outlineLevel="0" collapsed="false">
      <c r="C12" s="6" t="s">
        <v>278</v>
      </c>
      <c r="D12" s="11" t="n">
        <f aca="false">SUMIFS(D2:D8,E2:E8,"Maquinaria pesada")</f>
        <v>32</v>
      </c>
    </row>
    <row r="13" customFormat="false" ht="15" hidden="false" customHeight="false" outlineLevel="0" collapsed="false">
      <c r="C13" s="6" t="s">
        <v>279</v>
      </c>
      <c r="D13" s="11" t="n">
        <f aca="false">SUMIFS(D2:D8,A2:A8,"Civil / interinstitucional")</f>
        <v>39</v>
      </c>
    </row>
    <row r="14" customFormat="false" ht="15" hidden="false" customHeight="false" outlineLevel="0" collapsed="false">
      <c r="C14" s="6" t="s">
        <v>280</v>
      </c>
      <c r="D14" s="11" t="n">
        <f aca="false">SUM(D2:D8)</f>
        <v>45</v>
      </c>
    </row>
    <row r="16" customFormat="false" ht="15" hidden="false" customHeight="false" outlineLevel="0" collapsed="false">
      <c r="A16" s="13" t="s">
        <v>281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7" t="s">
        <v>250</v>
      </c>
      <c r="B1" s="7" t="s">
        <v>282</v>
      </c>
      <c r="C1" s="7" t="s">
        <v>283</v>
      </c>
      <c r="D1" s="7" t="s">
        <v>284</v>
      </c>
      <c r="E1" s="7" t="s">
        <v>285</v>
      </c>
    </row>
    <row r="2" customFormat="false" ht="15" hidden="false" customHeight="false" outlineLevel="0" collapsed="false">
      <c r="A2" s="8" t="s">
        <v>286</v>
      </c>
      <c r="B2" s="8" t="s">
        <v>236</v>
      </c>
      <c r="C2" s="8" t="s">
        <v>287</v>
      </c>
      <c r="D2" s="8" t="n">
        <v>8</v>
      </c>
      <c r="E2" s="8"/>
    </row>
    <row r="3" customFormat="false" ht="15" hidden="false" customHeight="false" outlineLevel="0" collapsed="false">
      <c r="A3" s="8" t="s">
        <v>288</v>
      </c>
      <c r="B3" s="8" t="s">
        <v>289</v>
      </c>
      <c r="C3" s="8" t="s">
        <v>290</v>
      </c>
      <c r="D3" s="8"/>
      <c r="E3" s="8"/>
    </row>
    <row r="4" customFormat="false" ht="15" hidden="false" customHeight="false" outlineLevel="0" collapsed="false">
      <c r="A4" s="8" t="s">
        <v>291</v>
      </c>
      <c r="B4" s="8" t="s">
        <v>289</v>
      </c>
      <c r="C4" s="8" t="s">
        <v>292</v>
      </c>
      <c r="D4" s="8"/>
      <c r="E4" s="8"/>
    </row>
    <row r="5" customFormat="false" ht="15" hidden="false" customHeight="false" outlineLevel="0" collapsed="false">
      <c r="A5" s="8" t="s">
        <v>293</v>
      </c>
      <c r="B5" s="8" t="s">
        <v>289</v>
      </c>
      <c r="C5" s="8" t="s">
        <v>294</v>
      </c>
      <c r="D5" s="8"/>
      <c r="E5" s="8"/>
    </row>
    <row r="6" customFormat="false" ht="15" hidden="false" customHeight="false" outlineLevel="0" collapsed="false">
      <c r="A6" s="8" t="s">
        <v>295</v>
      </c>
      <c r="B6" s="8" t="s">
        <v>289</v>
      </c>
      <c r="C6" s="8" t="s">
        <v>296</v>
      </c>
      <c r="D6" s="8"/>
      <c r="E6" s="8"/>
    </row>
    <row r="7" customFormat="false" ht="15" hidden="false" customHeight="false" outlineLevel="0" collapsed="false">
      <c r="A7" s="8" t="s">
        <v>297</v>
      </c>
      <c r="B7" s="8" t="s">
        <v>298</v>
      </c>
      <c r="C7" s="8" t="s">
        <v>299</v>
      </c>
      <c r="D7" s="8" t="n">
        <v>60</v>
      </c>
      <c r="E7" s="8" t="s">
        <v>232</v>
      </c>
    </row>
    <row r="8" customFormat="false" ht="15" hidden="false" customHeight="false" outlineLevel="0" collapsed="false">
      <c r="A8" s="8" t="s">
        <v>300</v>
      </c>
      <c r="B8" s="8" t="s">
        <v>298</v>
      </c>
      <c r="C8" s="8" t="s">
        <v>301</v>
      </c>
      <c r="D8" s="8" t="n">
        <v>30</v>
      </c>
      <c r="E8" s="8" t="s">
        <v>232</v>
      </c>
    </row>
    <row r="9" customFormat="false" ht="15" hidden="false" customHeight="false" outlineLevel="0" collapsed="false">
      <c r="A9" s="8" t="s">
        <v>302</v>
      </c>
      <c r="B9" s="8" t="s">
        <v>298</v>
      </c>
      <c r="C9" s="8" t="s">
        <v>303</v>
      </c>
      <c r="D9" s="8" t="n">
        <v>10</v>
      </c>
      <c r="E9" s="8" t="s">
        <v>304</v>
      </c>
    </row>
    <row r="10" customFormat="false" ht="15" hidden="false" customHeight="false" outlineLevel="0" collapsed="false">
      <c r="A10" s="8" t="s">
        <v>305</v>
      </c>
      <c r="B10" s="8" t="s">
        <v>298</v>
      </c>
      <c r="C10" s="8" t="s">
        <v>306</v>
      </c>
      <c r="D10" s="8"/>
      <c r="E10" s="8"/>
    </row>
    <row r="11" customFormat="false" ht="15" hidden="false" customHeight="false" outlineLevel="0" collapsed="false">
      <c r="A11" s="8" t="s">
        <v>307</v>
      </c>
      <c r="B11" s="8" t="s">
        <v>298</v>
      </c>
      <c r="C11" s="8" t="s">
        <v>308</v>
      </c>
      <c r="D11" s="8"/>
      <c r="E11" s="8"/>
    </row>
    <row r="12" customFormat="false" ht="15" hidden="false" customHeight="false" outlineLevel="0" collapsed="false">
      <c r="A12" s="8" t="s">
        <v>309</v>
      </c>
      <c r="B12" s="8" t="s">
        <v>298</v>
      </c>
      <c r="C12" s="8" t="s">
        <v>310</v>
      </c>
      <c r="D12" s="8"/>
      <c r="E12" s="8"/>
    </row>
    <row r="13" customFormat="false" ht="15" hidden="false" customHeight="false" outlineLevel="0" collapsed="false">
      <c r="A13" s="8" t="s">
        <v>311</v>
      </c>
      <c r="B13" s="8" t="s">
        <v>298</v>
      </c>
      <c r="C13" s="8" t="s">
        <v>312</v>
      </c>
      <c r="D13" s="8" t="n">
        <v>20</v>
      </c>
      <c r="E13" s="8" t="s">
        <v>313</v>
      </c>
    </row>
    <row r="14" customFormat="false" ht="15" hidden="false" customHeight="false" outlineLevel="0" collapsed="false">
      <c r="A14" s="14" t="s">
        <v>314</v>
      </c>
      <c r="D14" s="11" t="n">
        <f aca="false">SUMIFS(D2:D13,B2:B13,"Apoyo")</f>
        <v>120</v>
      </c>
    </row>
    <row r="16" customFormat="false" ht="15" hidden="false" customHeight="false" outlineLevel="0" collapsed="false">
      <c r="A16" s="13" t="s">
        <v>315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100"/>
    <col collapsed="false" customWidth="true" hidden="false" outlineLevel="0" max="4" min="4" style="0" width="11"/>
  </cols>
  <sheetData>
    <row r="1" customFormat="false" ht="31.5" hidden="false" customHeight="true" outlineLevel="0" collapsed="false">
      <c r="A1" s="7" t="s">
        <v>316</v>
      </c>
      <c r="B1" s="7" t="s">
        <v>317</v>
      </c>
      <c r="C1" s="7" t="s">
        <v>160</v>
      </c>
      <c r="D1" s="7" t="s">
        <v>318</v>
      </c>
    </row>
    <row r="2" customFormat="false" ht="26.85" hidden="false" customHeight="false" outlineLevel="0" collapsed="false">
      <c r="A2" s="8" t="s">
        <v>72</v>
      </c>
      <c r="B2" s="8" t="s">
        <v>319</v>
      </c>
      <c r="C2" s="8" t="s">
        <v>320</v>
      </c>
      <c r="D2" s="8" t="n">
        <v>9</v>
      </c>
    </row>
    <row r="3" customFormat="false" ht="26.85" hidden="false" customHeight="false" outlineLevel="0" collapsed="false">
      <c r="A3" s="8" t="s">
        <v>72</v>
      </c>
      <c r="B3" s="8" t="s">
        <v>113</v>
      </c>
      <c r="C3" s="8" t="s">
        <v>321</v>
      </c>
      <c r="D3" s="8" t="n">
        <v>9</v>
      </c>
    </row>
    <row r="4" customFormat="false" ht="26.85" hidden="false" customHeight="false" outlineLevel="0" collapsed="false">
      <c r="A4" s="8" t="s">
        <v>72</v>
      </c>
      <c r="B4" s="8" t="s">
        <v>322</v>
      </c>
      <c r="C4" s="8" t="s">
        <v>323</v>
      </c>
      <c r="D4" s="8" t="n">
        <v>9</v>
      </c>
    </row>
    <row r="5" customFormat="false" ht="15" hidden="false" customHeight="false" outlineLevel="0" collapsed="false">
      <c r="A5" s="8" t="s">
        <v>75</v>
      </c>
      <c r="B5" s="8" t="s">
        <v>324</v>
      </c>
      <c r="C5" s="8" t="s">
        <v>325</v>
      </c>
      <c r="D5" s="8" t="n">
        <v>10</v>
      </c>
    </row>
    <row r="6" customFormat="false" ht="15" hidden="false" customHeight="false" outlineLevel="0" collapsed="false">
      <c r="A6" s="8" t="s">
        <v>75</v>
      </c>
      <c r="B6" s="8" t="s">
        <v>326</v>
      </c>
      <c r="C6" s="8" t="s">
        <v>327</v>
      </c>
      <c r="D6" s="8" t="n">
        <v>10</v>
      </c>
    </row>
    <row r="7" customFormat="false" ht="26.85" hidden="false" customHeight="false" outlineLevel="0" collapsed="false">
      <c r="A7" s="8" t="s">
        <v>75</v>
      </c>
      <c r="B7" s="8" t="s">
        <v>328</v>
      </c>
      <c r="C7" s="8" t="s">
        <v>329</v>
      </c>
      <c r="D7" s="8" t="n">
        <v>10</v>
      </c>
    </row>
    <row r="8" customFormat="false" ht="15" hidden="false" customHeight="false" outlineLevel="0" collapsed="false">
      <c r="A8" s="8" t="s">
        <v>75</v>
      </c>
      <c r="B8" s="8" t="s">
        <v>330</v>
      </c>
      <c r="C8" s="8" t="s">
        <v>331</v>
      </c>
      <c r="D8" s="8" t="n">
        <v>10</v>
      </c>
    </row>
    <row r="9" customFormat="false" ht="26.85" hidden="false" customHeight="false" outlineLevel="0" collapsed="false">
      <c r="A9" s="8" t="s">
        <v>78</v>
      </c>
      <c r="B9" s="8" t="s">
        <v>332</v>
      </c>
      <c r="C9" s="8" t="s">
        <v>333</v>
      </c>
      <c r="D9" s="8" t="n">
        <v>11</v>
      </c>
    </row>
    <row r="10" customFormat="false" ht="26.85" hidden="false" customHeight="false" outlineLevel="0" collapsed="false">
      <c r="A10" s="8" t="s">
        <v>78</v>
      </c>
      <c r="B10" s="8" t="s">
        <v>334</v>
      </c>
      <c r="C10" s="8" t="s">
        <v>335</v>
      </c>
      <c r="D10" s="8" t="n">
        <v>11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7" t="s">
        <v>336</v>
      </c>
      <c r="B1" s="7" t="s">
        <v>250</v>
      </c>
      <c r="C1" s="7" t="s">
        <v>160</v>
      </c>
      <c r="D1" s="7" t="s">
        <v>337</v>
      </c>
    </row>
    <row r="2" customFormat="false" ht="26.85" hidden="false" customHeight="false" outlineLevel="0" collapsed="false">
      <c r="A2" s="8" t="s">
        <v>338</v>
      </c>
      <c r="B2" s="8" t="s">
        <v>302</v>
      </c>
      <c r="C2" s="8" t="s">
        <v>339</v>
      </c>
      <c r="D2" s="8"/>
    </row>
    <row r="3" customFormat="false" ht="26.85" hidden="false" customHeight="false" outlineLevel="0" collapsed="false">
      <c r="A3" s="8" t="s">
        <v>340</v>
      </c>
      <c r="B3" s="8" t="s">
        <v>341</v>
      </c>
      <c r="C3" s="8" t="s">
        <v>342</v>
      </c>
      <c r="D3" s="8" t="s">
        <v>343</v>
      </c>
    </row>
    <row r="4" customFormat="false" ht="15" hidden="false" customHeight="false" outlineLevel="0" collapsed="false">
      <c r="A4" s="8" t="s">
        <v>344</v>
      </c>
      <c r="B4" s="8" t="s">
        <v>293</v>
      </c>
      <c r="C4" s="8" t="s">
        <v>345</v>
      </c>
      <c r="D4" s="8"/>
    </row>
    <row r="5" customFormat="false" ht="15" hidden="false" customHeight="false" outlineLevel="0" collapsed="false">
      <c r="A5" s="8" t="s">
        <v>344</v>
      </c>
      <c r="B5" s="8" t="s">
        <v>346</v>
      </c>
      <c r="C5" s="8" t="s">
        <v>347</v>
      </c>
      <c r="D5" s="8"/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10"/>
  </cols>
  <sheetData>
    <row r="1" customFormat="false" ht="31.5" hidden="false" customHeight="true" outlineLevel="0" collapsed="false">
      <c r="A1" s="7" t="s">
        <v>87</v>
      </c>
      <c r="B1" s="7" t="s">
        <v>348</v>
      </c>
      <c r="C1" s="7" t="s">
        <v>349</v>
      </c>
    </row>
    <row r="2" customFormat="false" ht="26.85" hidden="false" customHeight="false" outlineLevel="0" collapsed="false">
      <c r="A2" s="8" t="s">
        <v>350</v>
      </c>
      <c r="B2" s="8"/>
      <c r="C2" s="8" t="s">
        <v>351</v>
      </c>
    </row>
    <row r="3" customFormat="false" ht="26.85" hidden="false" customHeight="false" outlineLevel="0" collapsed="false">
      <c r="A3" s="8" t="s">
        <v>352</v>
      </c>
      <c r="B3" s="8" t="s">
        <v>353</v>
      </c>
      <c r="C3" s="8" t="s">
        <v>354</v>
      </c>
    </row>
    <row r="4" customFormat="false" ht="26.85" hidden="false" customHeight="false" outlineLevel="0" collapsed="false">
      <c r="A4" s="8" t="s">
        <v>355</v>
      </c>
      <c r="B4" s="8" t="s">
        <v>356</v>
      </c>
      <c r="C4" s="8" t="s">
        <v>357</v>
      </c>
    </row>
    <row r="5" customFormat="false" ht="26.85" hidden="false" customHeight="false" outlineLevel="0" collapsed="false">
      <c r="A5" s="8" t="s">
        <v>358</v>
      </c>
      <c r="B5" s="8" t="s">
        <v>356</v>
      </c>
      <c r="C5" s="8" t="s">
        <v>359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9"/>
  </cols>
  <sheetData>
    <row r="1" customFormat="false" ht="31.5" hidden="false" customHeight="true" outlineLevel="0" collapsed="false">
      <c r="A1" s="7" t="s">
        <v>360</v>
      </c>
      <c r="B1" s="7" t="s">
        <v>87</v>
      </c>
      <c r="C1" s="7" t="s">
        <v>119</v>
      </c>
      <c r="D1" s="7" t="s">
        <v>361</v>
      </c>
      <c r="E1" s="7" t="s">
        <v>164</v>
      </c>
      <c r="F1" s="7" t="s">
        <v>165</v>
      </c>
    </row>
    <row r="2" customFormat="false" ht="15" hidden="false" customHeight="false" outlineLevel="0" collapsed="false">
      <c r="A2" s="8" t="s">
        <v>362</v>
      </c>
      <c r="B2" s="8" t="s">
        <v>363</v>
      </c>
      <c r="C2" s="8" t="s">
        <v>136</v>
      </c>
      <c r="D2" s="8" t="s">
        <v>364</v>
      </c>
      <c r="E2" s="8" t="n">
        <v>-1.8</v>
      </c>
      <c r="F2" s="8" t="n">
        <v>-78.61</v>
      </c>
    </row>
    <row r="3" customFormat="false" ht="15" hidden="false" customHeight="false" outlineLevel="0" collapsed="false">
      <c r="A3" s="8" t="s">
        <v>365</v>
      </c>
      <c r="B3" s="8" t="s">
        <v>366</v>
      </c>
      <c r="C3" s="8" t="s">
        <v>144</v>
      </c>
      <c r="D3" s="8" t="s">
        <v>367</v>
      </c>
      <c r="E3" s="8" t="n">
        <v>-2.3</v>
      </c>
      <c r="F3" s="8" t="n">
        <v>-78.8</v>
      </c>
    </row>
    <row r="4" customFormat="false" ht="15" hidden="false" customHeight="false" outlineLevel="0" collapsed="false">
      <c r="A4" s="8" t="s">
        <v>368</v>
      </c>
      <c r="B4" s="8" t="s">
        <v>366</v>
      </c>
      <c r="C4" s="8" t="s">
        <v>143</v>
      </c>
      <c r="D4" s="8" t="s">
        <v>369</v>
      </c>
      <c r="E4" s="8" t="n">
        <v>-2.3</v>
      </c>
      <c r="F4" s="8" t="n">
        <v>-78.95</v>
      </c>
    </row>
    <row r="5" customFormat="false" ht="26.85" hidden="false" customHeight="false" outlineLevel="0" collapsed="false">
      <c r="A5" s="8" t="s">
        <v>370</v>
      </c>
      <c r="B5" s="8" t="s">
        <v>366</v>
      </c>
      <c r="C5" s="8"/>
      <c r="D5" s="8" t="s">
        <v>371</v>
      </c>
      <c r="E5" s="8" t="n">
        <v>-2.22</v>
      </c>
      <c r="F5" s="8" t="n">
        <v>-78.9</v>
      </c>
    </row>
    <row r="6" customFormat="false" ht="26.85" hidden="false" customHeight="false" outlineLevel="0" collapsed="false">
      <c r="A6" s="8" t="s">
        <v>372</v>
      </c>
      <c r="B6" s="8" t="s">
        <v>373</v>
      </c>
      <c r="C6" s="8" t="s">
        <v>136</v>
      </c>
      <c r="D6" s="8" t="s">
        <v>374</v>
      </c>
      <c r="E6" s="8" t="n">
        <v>-1.656</v>
      </c>
      <c r="F6" s="8" t="n">
        <v>-78.677</v>
      </c>
    </row>
    <row r="7" customFormat="false" ht="26.85" hidden="false" customHeight="false" outlineLevel="0" collapsed="false">
      <c r="A7" s="8" t="s">
        <v>375</v>
      </c>
      <c r="B7" s="8" t="s">
        <v>373</v>
      </c>
      <c r="C7" s="8" t="s">
        <v>136</v>
      </c>
      <c r="D7" s="8" t="s">
        <v>374</v>
      </c>
      <c r="E7" s="8" t="n">
        <v>-1.68</v>
      </c>
      <c r="F7" s="8" t="n">
        <v>-78.64</v>
      </c>
    </row>
    <row r="8" customFormat="false" ht="15" hidden="false" customHeight="false" outlineLevel="0" collapsed="false">
      <c r="A8" s="8" t="s">
        <v>376</v>
      </c>
      <c r="B8" s="8" t="s">
        <v>377</v>
      </c>
      <c r="C8" s="8"/>
      <c r="D8" s="8" t="s">
        <v>378</v>
      </c>
      <c r="E8" s="8"/>
      <c r="F8" s="8"/>
    </row>
    <row r="9" customFormat="false" ht="15" hidden="false" customHeight="false" outlineLevel="0" collapsed="false">
      <c r="A9" s="8" t="s">
        <v>379</v>
      </c>
      <c r="B9" s="8" t="s">
        <v>377</v>
      </c>
      <c r="C9" s="8"/>
      <c r="D9" s="8" t="s">
        <v>378</v>
      </c>
      <c r="E9" s="8"/>
      <c r="F9" s="8"/>
    </row>
    <row r="11" customFormat="false" ht="15" hidden="false" customHeight="false" outlineLevel="0" collapsed="false">
      <c r="A11" s="13" t="s">
        <v>380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7"/>
    <col collapsed="false" customWidth="true" hidden="false" outlineLevel="0" max="6" min="5" style="0" width="8"/>
    <col collapsed="false" customWidth="true" hidden="false" outlineLevel="0" max="7" min="7" style="0" width="24"/>
  </cols>
  <sheetData>
    <row r="1" customFormat="false" ht="31.5" hidden="false" customHeight="true" outlineLevel="0" collapsed="false">
      <c r="A1" s="7" t="s">
        <v>381</v>
      </c>
      <c r="B1" s="7" t="s">
        <v>44</v>
      </c>
      <c r="C1" s="7" t="s">
        <v>382</v>
      </c>
      <c r="D1" s="7" t="s">
        <v>383</v>
      </c>
      <c r="E1" s="7" t="s">
        <v>384</v>
      </c>
      <c r="F1" s="7" t="s">
        <v>385</v>
      </c>
      <c r="G1" s="7" t="s">
        <v>386</v>
      </c>
    </row>
    <row r="2" customFormat="false" ht="15" hidden="false" customHeight="false" outlineLevel="0" collapsed="false">
      <c r="A2" s="8" t="s">
        <v>387</v>
      </c>
      <c r="B2" s="8" t="s">
        <v>136</v>
      </c>
      <c r="C2" s="8" t="n">
        <v>1160</v>
      </c>
      <c r="D2" s="8" t="n">
        <v>115</v>
      </c>
      <c r="E2" s="8" t="n">
        <v>775</v>
      </c>
      <c r="F2" s="8" t="n">
        <v>260</v>
      </c>
      <c r="G2" s="8" t="s">
        <v>136</v>
      </c>
    </row>
    <row r="3" customFormat="false" ht="15" hidden="false" customHeight="false" outlineLevel="0" collapsed="false">
      <c r="A3" s="8" t="s">
        <v>388</v>
      </c>
      <c r="B3" s="8" t="s">
        <v>175</v>
      </c>
      <c r="C3" s="8" t="n">
        <v>1160</v>
      </c>
      <c r="D3" s="8" t="n">
        <v>430</v>
      </c>
      <c r="E3" s="8" t="n">
        <v>775</v>
      </c>
      <c r="F3" s="8" t="n">
        <v>255</v>
      </c>
      <c r="G3" s="8" t="s">
        <v>389</v>
      </c>
    </row>
    <row r="4" customFormat="false" ht="26.85" hidden="false" customHeight="false" outlineLevel="0" collapsed="false">
      <c r="A4" s="8" t="s">
        <v>390</v>
      </c>
      <c r="B4" s="8" t="s">
        <v>181</v>
      </c>
      <c r="C4" s="8" t="n">
        <v>1160</v>
      </c>
      <c r="D4" s="8" t="n">
        <v>730</v>
      </c>
      <c r="E4" s="8" t="n">
        <v>775</v>
      </c>
      <c r="F4" s="8" t="n">
        <v>230</v>
      </c>
      <c r="G4" s="8" t="s">
        <v>391</v>
      </c>
    </row>
    <row r="5" customFormat="false" ht="15" hidden="false" customHeight="false" outlineLevel="0" collapsed="false">
      <c r="A5" s="8" t="s">
        <v>392</v>
      </c>
      <c r="B5" s="8" t="s">
        <v>393</v>
      </c>
      <c r="C5" s="8" t="n">
        <v>895</v>
      </c>
      <c r="D5" s="8" t="n">
        <v>838</v>
      </c>
      <c r="E5" s="8" t="n">
        <v>147</v>
      </c>
      <c r="F5" s="8" t="n">
        <v>228</v>
      </c>
      <c r="G5" s="8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5" t="s">
        <v>394</v>
      </c>
    </row>
    <row r="2" customFormat="false" ht="31.5" hidden="false" customHeight="true" outlineLevel="0" collapsed="false">
      <c r="A2" s="7" t="s">
        <v>92</v>
      </c>
      <c r="B2" s="7" t="s">
        <v>395</v>
      </c>
      <c r="C2" s="7" t="s">
        <v>396</v>
      </c>
      <c r="D2" s="7" t="s">
        <v>397</v>
      </c>
    </row>
    <row r="3" customFormat="false" ht="15" hidden="false" customHeight="false" outlineLevel="0" collapsed="false">
      <c r="A3" s="8" t="s">
        <v>398</v>
      </c>
      <c r="B3" s="16" t="n">
        <f aca="false">SUM(PERSONAL_MILITAR!C2:C6)</f>
        <v>323</v>
      </c>
      <c r="C3" s="8" t="n">
        <v>323</v>
      </c>
      <c r="D3" s="16" t="str">
        <f aca="false">IF(B3=C3,"OK","REVISAR")</f>
        <v>OK</v>
      </c>
    </row>
    <row r="4" customFormat="false" ht="15" hidden="false" customHeight="false" outlineLevel="0" collapsed="false">
      <c r="A4" s="8" t="s">
        <v>399</v>
      </c>
      <c r="B4" s="16" t="n">
        <f aca="false">SUM(POBLACION_AISLADA!C2:C4)</f>
        <v>273</v>
      </c>
      <c r="C4" s="8" t="n">
        <v>273</v>
      </c>
      <c r="D4" s="16" t="str">
        <f aca="false">IF(B4=C4,"OK","REVISAR")</f>
        <v>OK</v>
      </c>
    </row>
    <row r="5" customFormat="false" ht="15" hidden="false" customHeight="false" outlineLevel="0" collapsed="false">
      <c r="A5" s="8" t="s">
        <v>97</v>
      </c>
      <c r="B5" s="16" t="n">
        <f aca="false">SUM(POBLACION_AISLADA!D2:D4)</f>
        <v>707</v>
      </c>
      <c r="C5" s="8" t="n">
        <v>707</v>
      </c>
      <c r="D5" s="16" t="str">
        <f aca="false">IF(B5=C5,"OK","REVISAR")</f>
        <v>OK</v>
      </c>
    </row>
    <row r="6" customFormat="false" ht="15" hidden="false" customHeight="false" outlineLevel="0" collapsed="false">
      <c r="A6" s="8" t="s">
        <v>400</v>
      </c>
      <c r="B6" s="16" t="n">
        <f aca="false">SUMIFS(MEDIOS!D:D,MEDIOS!E:E,"Maquinaria pesada")</f>
        <v>32</v>
      </c>
      <c r="C6" s="8" t="n">
        <v>32</v>
      </c>
      <c r="D6" s="16" t="str">
        <f aca="false">IF(B6=C6,"OK","REVISAR")</f>
        <v>OK</v>
      </c>
    </row>
    <row r="7" customFormat="false" ht="15" hidden="false" customHeight="false" outlineLevel="0" collapsed="false">
      <c r="A7" s="8" t="s">
        <v>401</v>
      </c>
      <c r="B7" s="16" t="n">
        <f aca="false">SUMIFS(MEDIOS!D:D,MEDIOS!A:A,"11 BCB")</f>
        <v>6</v>
      </c>
      <c r="C7" s="8" t="n">
        <v>6</v>
      </c>
      <c r="D7" s="16" t="str">
        <f aca="false">IF(B7=C7,"OK","REVISAR")</f>
        <v>OK</v>
      </c>
    </row>
    <row r="8" customFormat="false" ht="15" hidden="false" customHeight="false" outlineLevel="0" collapsed="false">
      <c r="A8" s="8" t="s">
        <v>402</v>
      </c>
      <c r="B8" s="16" t="n">
        <f aca="false">COUNTA(CANTONES_AFECTADOS!A2:A6)</f>
        <v>5</v>
      </c>
      <c r="C8" s="8" t="n">
        <v>5</v>
      </c>
      <c r="D8" s="16" t="str">
        <f aca="false">IF(B8=C8,"OK","REVISAR")</f>
        <v>OK</v>
      </c>
    </row>
    <row r="9" customFormat="false" ht="15" hidden="false" customHeight="false" outlineLevel="0" collapsed="false">
      <c r="A9" s="8" t="s">
        <v>403</v>
      </c>
      <c r="B9" s="16" t="n">
        <f aca="false">COUNTIF(ZONAS_IMPACTO!G:G,"ALTA")</f>
        <v>3</v>
      </c>
      <c r="C9" s="8" t="n">
        <v>3</v>
      </c>
      <c r="D9" s="16" t="str">
        <f aca="false">IF(B9=C9,"OK","REVISAR")</f>
        <v>OK</v>
      </c>
    </row>
    <row r="10" customFormat="false" ht="15" hidden="false" customHeight="false" outlineLevel="0" collapsed="false">
      <c r="A10" s="8" t="s">
        <v>404</v>
      </c>
      <c r="B10" s="16" t="n">
        <f aca="false">COUNTIF(ZONAS_IMPACTO!G:G,"MEDIA")</f>
        <v>2</v>
      </c>
      <c r="C10" s="8" t="n">
        <v>2</v>
      </c>
      <c r="D10" s="16" t="str">
        <f aca="false">IF(B10=C10,"OK","REVISAR")</f>
        <v>OK</v>
      </c>
    </row>
  </sheetData>
  <autoFilter ref="A2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3"/>
  </cols>
  <sheetData>
    <row r="1" customFormat="false" ht="16.15" hidden="false" customHeight="false" outlineLevel="0" collapsed="false">
      <c r="A1" s="15" t="s">
        <v>405</v>
      </c>
    </row>
    <row r="3" customFormat="false" ht="15" hidden="false" customHeight="false" outlineLevel="0" collapsed="false">
      <c r="A3" s="17" t="s">
        <v>240</v>
      </c>
      <c r="B3" s="17" t="s">
        <v>406</v>
      </c>
    </row>
    <row r="4" customFormat="false" ht="15" hidden="false" customHeight="false" outlineLevel="0" collapsed="false">
      <c r="A4" s="10" t="str">
        <f aca="false">PERSONAL_MILITAR!A2</f>
        <v>Puesto de Mando 11BCB «Galápagos»</v>
      </c>
      <c r="B4" s="10" t="n">
        <f aca="false">PERSONAL_MILITAR!C2</f>
        <v>15</v>
      </c>
    </row>
    <row r="5" customFormat="false" ht="15" hidden="false" customHeight="false" outlineLevel="0" collapsed="false">
      <c r="A5" s="10" t="str">
        <f aca="false">PERSONAL_MILITAR!A3</f>
        <v>Oficiales de enlace</v>
      </c>
      <c r="B5" s="10" t="n">
        <f aca="false">PERSONAL_MILITAR!C3</f>
        <v>8</v>
      </c>
    </row>
    <row r="6" customFormat="false" ht="15" hidden="false" customHeight="false" outlineLevel="0" collapsed="false">
      <c r="A6" s="10" t="str">
        <f aca="false">PERSONAL_MILITAR!A4</f>
        <v>GCB-32</v>
      </c>
      <c r="B6" s="10" t="n">
        <f aca="false">PERSONAL_MILITAR!C4</f>
        <v>140</v>
      </c>
    </row>
    <row r="7" customFormat="false" ht="15" hidden="false" customHeight="false" outlineLevel="0" collapsed="false">
      <c r="A7" s="10" t="str">
        <f aca="false">PERSONAL_MILITAR!A5</f>
        <v>ERS-11</v>
      </c>
      <c r="B7" s="10" t="n">
        <f aca="false">PERSONAL_MILITAR!C5</f>
        <v>80</v>
      </c>
    </row>
    <row r="8" customFormat="false" ht="15" hidden="false" customHeight="false" outlineLevel="0" collapsed="false">
      <c r="A8" s="10" t="str">
        <f aca="false">PERSONAL_MILITAR!A6</f>
        <v>Fuerza de Reacción</v>
      </c>
      <c r="B8" s="10" t="n">
        <f aca="false">PERSONAL_MILITAR!C6</f>
        <v>80</v>
      </c>
    </row>
    <row r="22" customFormat="false" ht="15" hidden="false" customHeight="false" outlineLevel="0" collapsed="false">
      <c r="A22" s="17" t="s">
        <v>363</v>
      </c>
      <c r="B22" s="17" t="s">
        <v>407</v>
      </c>
      <c r="C22" s="17" t="s">
        <v>408</v>
      </c>
    </row>
    <row r="23" customFormat="false" ht="15" hidden="false" customHeight="false" outlineLevel="0" collapsed="false">
      <c r="A23" s="10" t="str">
        <f aca="false">POBLACION_AISLADA!A2</f>
        <v>Pungalá</v>
      </c>
      <c r="B23" s="10" t="n">
        <f aca="false">POBLACION_AISLADA!C2</f>
        <v>150</v>
      </c>
      <c r="C23" s="10" t="n">
        <f aca="false">POBLACION_AISLADA!D2</f>
        <v>380</v>
      </c>
    </row>
    <row r="24" customFormat="false" ht="15" hidden="false" customHeight="false" outlineLevel="0" collapsed="false">
      <c r="A24" s="10" t="str">
        <f aca="false">POBLACION_AISLADA!A3</f>
        <v>Punín</v>
      </c>
      <c r="B24" s="10" t="n">
        <f aca="false">POBLACION_AISLADA!C3</f>
        <v>87</v>
      </c>
      <c r="C24" s="10" t="n">
        <f aca="false">POBLACION_AISLADA!D3</f>
        <v>213</v>
      </c>
    </row>
    <row r="25" customFormat="false" ht="15" hidden="false" customHeight="false" outlineLevel="0" collapsed="false">
      <c r="A25" s="10" t="str">
        <f aca="false">POBLACION_AISLADA!A4</f>
        <v>Licán</v>
      </c>
      <c r="B25" s="10" t="n">
        <f aca="false">POBLACION_AISLADA!C4</f>
        <v>36</v>
      </c>
      <c r="C25" s="10" t="n">
        <f aca="false">POBLACION_AISLADA!D4</f>
        <v>114</v>
      </c>
    </row>
    <row r="41" customFormat="false" ht="15" hidden="false" customHeight="false" outlineLevel="0" collapsed="false">
      <c r="A41" s="17" t="s">
        <v>358</v>
      </c>
      <c r="B41" s="17" t="s">
        <v>409</v>
      </c>
    </row>
    <row r="42" customFormat="false" ht="15" hidden="false" customHeight="false" outlineLevel="0" collapsed="false">
      <c r="A42" s="18" t="s">
        <v>200</v>
      </c>
      <c r="B42" s="10" t="n">
        <f aca="false">COUNTIF(ZONAS_IMPACTO!G:G,"ALTA")</f>
        <v>3</v>
      </c>
    </row>
    <row r="43" customFormat="false" ht="15" hidden="false" customHeight="false" outlineLevel="0" collapsed="false">
      <c r="A43" s="18" t="s">
        <v>216</v>
      </c>
      <c r="B43" s="10" t="n">
        <f aca="false">COUNTIF(ZONAS_IMPACTO!G:G,"MEDIA")</f>
        <v>2</v>
      </c>
    </row>
    <row r="60" customFormat="false" ht="15" hidden="false" customHeight="false" outlineLevel="0" collapsed="false">
      <c r="A60" s="17" t="s">
        <v>410</v>
      </c>
      <c r="B60" s="17" t="s">
        <v>411</v>
      </c>
    </row>
    <row r="61" customFormat="false" ht="15" hidden="false" customHeight="false" outlineLevel="0" collapsed="false">
      <c r="A61" s="10" t="str">
        <f aca="false">MEDIOS!B2&amp;" – "&amp;MEDIOS!C2</f>
        <v>11 BCB – Camiones tácticos HOWO 4x4 / 6x6</v>
      </c>
      <c r="B61" s="10" t="n">
        <f aca="false">MEDIOS!D2</f>
        <v>4</v>
      </c>
    </row>
    <row r="62" customFormat="false" ht="15" hidden="false" customHeight="false" outlineLevel="0" collapsed="false">
      <c r="A62" s="10" t="str">
        <f aca="false">MEDIOS!B3&amp;" – "&amp;MEDIOS!C3</f>
        <v>11 BCB – Camiones 3.5 t</v>
      </c>
      <c r="B62" s="10" t="n">
        <f aca="false">MEDIOS!D3</f>
        <v>2</v>
      </c>
    </row>
    <row r="63" customFormat="false" ht="15" hidden="false" customHeight="false" outlineLevel="0" collapsed="false">
      <c r="A63" s="10" t="str">
        <f aca="false">MEDIOS!B4&amp;" – "&amp;MEDIOS!C4</f>
        <v>MIT – Máquinas pesadas</v>
      </c>
      <c r="B63" s="10" t="n">
        <f aca="false">MEDIOS!D4</f>
        <v>7</v>
      </c>
    </row>
    <row r="64" customFormat="false" ht="15" hidden="false" customHeight="false" outlineLevel="0" collapsed="false">
      <c r="A64" s="10" t="str">
        <f aca="false">MEDIOS!B5&amp;" – "&amp;MEDIOS!C5</f>
        <v>GADs – Vehículos operativos</v>
      </c>
      <c r="B64" s="10" t="n">
        <f aca="false">MEDIOS!D5</f>
        <v>25</v>
      </c>
    </row>
    <row r="65" customFormat="false" ht="15" hidden="false" customHeight="false" outlineLevel="0" collapsed="false">
      <c r="A65" s="10" t="str">
        <f aca="false">MEDIOS!B6&amp;" – "&amp;MEDIOS!C6</f>
        <v>GAD Riobamba – Vacuum (hidrosuccionador)</v>
      </c>
      <c r="B65" s="10" t="n">
        <f aca="false">MEDIOS!D6</f>
        <v>1</v>
      </c>
    </row>
    <row r="66" customFormat="false" ht="15" hidden="false" customHeight="false" outlineLevel="0" collapsed="false">
      <c r="A66" s="10" t="str">
        <f aca="false">MEDIOS!B7&amp;" – "&amp;MEDIOS!C7</f>
        <v>Salud / Bomberos – Vehículos de rescate</v>
      </c>
      <c r="B66" s="10" t="n">
        <f aca="false">MEDIOS!D7</f>
        <v>4</v>
      </c>
    </row>
    <row r="67" customFormat="false" ht="15" hidden="false" customHeight="false" outlineLevel="0" collapsed="false">
      <c r="A67" s="10" t="str">
        <f aca="false">MEDIOS!B8&amp;" – "&amp;MEDIOS!C8</f>
        <v>Salud / Bomberos – Ambulancias</v>
      </c>
      <c r="B67" s="10" t="n">
        <f aca="false">MEDIOS!D8</f>
        <v>2</v>
      </c>
    </row>
    <row r="79" customFormat="false" ht="15" hidden="false" customHeight="false" outlineLevel="0" collapsed="false">
      <c r="A79" s="17" t="s">
        <v>412</v>
      </c>
      <c r="B79" s="17" t="s">
        <v>413</v>
      </c>
    </row>
    <row r="80" customFormat="false" ht="15" hidden="false" customHeight="false" outlineLevel="0" collapsed="false">
      <c r="A80" s="18" t="s">
        <v>297</v>
      </c>
      <c r="B80" s="10" t="n">
        <f aca="false">INSTITUCIONES!D7</f>
        <v>60</v>
      </c>
    </row>
    <row r="81" customFormat="false" ht="15" hidden="false" customHeight="false" outlineLevel="0" collapsed="false">
      <c r="A81" s="18" t="s">
        <v>300</v>
      </c>
      <c r="B81" s="10" t="n">
        <f aca="false">INSTITUCIONES!D8</f>
        <v>30</v>
      </c>
    </row>
    <row r="82" customFormat="false" ht="15" hidden="false" customHeight="false" outlineLevel="0" collapsed="false">
      <c r="A82" s="18" t="s">
        <v>302</v>
      </c>
      <c r="B82" s="10" t="n">
        <f aca="false">INSTITUCIONES!D9</f>
        <v>10</v>
      </c>
    </row>
    <row r="83" customFormat="false" ht="15" hidden="false" customHeight="false" outlineLevel="0" collapsed="false">
      <c r="A83" s="18" t="s">
        <v>311</v>
      </c>
      <c r="B83" s="10" t="n">
        <f aca="false">INSTITUCIONES!D13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0"/>
  </cols>
  <sheetData>
    <row r="1" customFormat="false" ht="31.5" hidden="false" customHeight="true" outlineLevel="0" collapsed="false">
      <c r="A1" s="7" t="s">
        <v>43</v>
      </c>
      <c r="B1" s="7" t="s">
        <v>414</v>
      </c>
      <c r="C1" s="7" t="s">
        <v>123</v>
      </c>
    </row>
    <row r="2" customFormat="false" ht="26.85" hidden="false" customHeight="false" outlineLevel="0" collapsed="false">
      <c r="A2" s="8" t="n">
        <v>1</v>
      </c>
      <c r="B2" s="8" t="s">
        <v>415</v>
      </c>
      <c r="C2" s="8" t="s">
        <v>416</v>
      </c>
    </row>
    <row r="3" customFormat="false" ht="39.55" hidden="false" customHeight="false" outlineLevel="0" collapsed="false">
      <c r="A3" s="8" t="n">
        <v>2</v>
      </c>
      <c r="B3" s="8" t="s">
        <v>417</v>
      </c>
      <c r="C3" s="8" t="s">
        <v>418</v>
      </c>
    </row>
    <row r="4" customFormat="false" ht="15" hidden="false" customHeight="false" outlineLevel="0" collapsed="false">
      <c r="A4" s="8" t="n">
        <v>3</v>
      </c>
      <c r="B4" s="8" t="s">
        <v>419</v>
      </c>
      <c r="C4" s="8" t="s">
        <v>420</v>
      </c>
    </row>
    <row r="5" customFormat="false" ht="15" hidden="false" customHeight="false" outlineLevel="0" collapsed="false">
      <c r="A5" s="8" t="n">
        <v>4</v>
      </c>
      <c r="B5" s="8" t="s">
        <v>421</v>
      </c>
      <c r="C5" s="8" t="s">
        <v>422</v>
      </c>
    </row>
    <row r="6" customFormat="false" ht="26.85" hidden="false" customHeight="false" outlineLevel="0" collapsed="false">
      <c r="A6" s="8" t="n">
        <v>5</v>
      </c>
      <c r="B6" s="8" t="s">
        <v>322</v>
      </c>
      <c r="C6" s="8" t="s">
        <v>423</v>
      </c>
    </row>
    <row r="7" customFormat="false" ht="15" hidden="false" customHeight="false" outlineLevel="0" collapsed="false">
      <c r="A7" s="8" t="n">
        <v>6</v>
      </c>
      <c r="B7" s="8" t="s">
        <v>424</v>
      </c>
      <c r="C7" s="8" t="s">
        <v>425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2026-10-16T14:35:24Z</dcterms:created>
  <dc:creator>openpyxl</dc:creator>
  <dc:description/>
  <dc:language>en-US</dc:language>
  <cp:lastModifiedBy/>
  <dcterms:modified xsi:type="dcterms:W3CDTF">2026-10-16T09:35:27Z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